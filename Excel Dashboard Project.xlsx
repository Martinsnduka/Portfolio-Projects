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HP\Videos\tutorial\D.S\Portfolio Projects\"/>
    </mc:Choice>
  </mc:AlternateContent>
  <xr:revisionPtr revIDLastSave="0" documentId="13_ncr:1_{28F24837-93CF-4E83-B861-2A0FA7E307BC}" xr6:coauthVersionLast="47" xr6:coauthVersionMax="47" xr10:uidLastSave="{00000000-0000-0000-0000-000000000000}"/>
  <bookViews>
    <workbookView xWindow="-120" yWindow="-120" windowWidth="20730" windowHeight="11160" activeTab="2" xr2:uid="{00000000-000D-0000-FFFF-FFFF00000000}"/>
  </bookViews>
  <sheets>
    <sheet name="Global Superstore Dataset" sheetId="1" r:id="rId1"/>
    <sheet name="pivot table" sheetId="5" r:id="rId2"/>
    <sheet name="Dashboard" sheetId="2" r:id="rId3"/>
  </sheets>
  <definedNames>
    <definedName name="Slicer_Customer_Type">#N/A</definedName>
    <definedName name="Slicer_Payment_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5" l="1"/>
  <c r="T12" i="5"/>
  <c r="V12" i="5" l="1"/>
  <c r="U12" i="5"/>
  <c r="T10" i="5"/>
  <c r="V10" i="5" s="1"/>
  <c r="T11" i="5"/>
  <c r="V11" i="5" s="1"/>
  <c r="T9" i="5"/>
  <c r="U9" i="5" s="1"/>
  <c r="Q14" i="5"/>
  <c r="R14" i="5" s="1"/>
  <c r="Q13" i="5"/>
  <c r="R13" i="5" s="1"/>
  <c r="Q12" i="5"/>
  <c r="R12" i="5" s="1"/>
  <c r="Q11" i="5"/>
  <c r="R11" i="5" s="1"/>
  <c r="Q10" i="5"/>
  <c r="R10" i="5" s="1"/>
  <c r="N16" i="5"/>
  <c r="O16" i="5" s="1"/>
  <c r="N15" i="5"/>
  <c r="O15" i="5" s="1"/>
  <c r="N12" i="5"/>
  <c r="O12" i="5" s="1"/>
  <c r="N13" i="5"/>
  <c r="O13" i="5" s="1"/>
  <c r="N14" i="5"/>
  <c r="O14" i="5" s="1"/>
  <c r="N11" i="5"/>
  <c r="O11" i="5" s="1"/>
  <c r="K14" i="5"/>
  <c r="L14" i="5" s="1"/>
  <c r="K13" i="5"/>
  <c r="L13" i="5" s="1"/>
  <c r="K12" i="5"/>
  <c r="L12" i="5" s="1"/>
  <c r="K11" i="5"/>
  <c r="L11" i="5" s="1"/>
  <c r="K10" i="5"/>
  <c r="L10" i="5" s="1"/>
  <c r="H14" i="5"/>
  <c r="I14" i="5" s="1"/>
  <c r="H13" i="5"/>
  <c r="I13" i="5" s="1"/>
  <c r="H12" i="5"/>
  <c r="I12" i="5" s="1"/>
  <c r="H11" i="5"/>
  <c r="I11" i="5" s="1"/>
  <c r="H10" i="5"/>
  <c r="I10" i="5" s="1"/>
  <c r="E15" i="5"/>
  <c r="E14" i="5"/>
  <c r="F14" i="5" s="1"/>
  <c r="E13" i="5"/>
  <c r="F13" i="5" s="1"/>
  <c r="E12" i="5"/>
  <c r="F12" i="5" s="1"/>
  <c r="E11" i="5"/>
  <c r="F11" i="5" s="1"/>
  <c r="E10" i="5"/>
  <c r="F10" i="5" s="1"/>
  <c r="F15" i="5" l="1"/>
  <c r="U11" i="5"/>
  <c r="V9" i="5"/>
  <c r="U10" i="5"/>
  <c r="A11" i="5"/>
  <c r="B11" i="5" s="1"/>
  <c r="A12" i="5"/>
  <c r="B12" i="5" s="1"/>
  <c r="A13" i="5"/>
  <c r="B13" i="5" s="1"/>
  <c r="A14" i="5"/>
  <c r="B14" i="5" s="1"/>
  <c r="A10" i="5"/>
  <c r="B10" i="5" s="1"/>
</calcChain>
</file>

<file path=xl/sharedStrings.xml><?xml version="1.0" encoding="utf-8"?>
<sst xmlns="http://schemas.openxmlformats.org/spreadsheetml/2006/main" count="1366" uniqueCount="146">
  <si>
    <t>Date</t>
  </si>
  <si>
    <t>Product Name</t>
  </si>
  <si>
    <t>Category</t>
  </si>
  <si>
    <t>Sales Representative</t>
  </si>
  <si>
    <t>Region</t>
  </si>
  <si>
    <t>Quantity Sold</t>
  </si>
  <si>
    <t>Unit Price</t>
  </si>
  <si>
    <t>Total Sale</t>
  </si>
  <si>
    <t>Cost Price</t>
  </si>
  <si>
    <t>Profit</t>
  </si>
  <si>
    <t>Payment Method</t>
  </si>
  <si>
    <t>Order Status</t>
  </si>
  <si>
    <t>Region Manager</t>
  </si>
  <si>
    <t>Customer Type</t>
  </si>
  <si>
    <t>22-01-2024</t>
  </si>
  <si>
    <t>Table</t>
  </si>
  <si>
    <t>Home Goods</t>
  </si>
  <si>
    <t>Charlie</t>
  </si>
  <si>
    <t>West</t>
  </si>
  <si>
    <t>Credit Card</t>
  </si>
  <si>
    <t>Completed</t>
  </si>
  <si>
    <t>Lisa White</t>
  </si>
  <si>
    <t>Regular</t>
  </si>
  <si>
    <t>Curtains</t>
  </si>
  <si>
    <t>Bob</t>
  </si>
  <si>
    <t>East</t>
  </si>
  <si>
    <t>Cash</t>
  </si>
  <si>
    <t>Pending</t>
  </si>
  <si>
    <t>Tom Brown</t>
  </si>
  <si>
    <t>VIP</t>
  </si>
  <si>
    <t>19-11-2024</t>
  </si>
  <si>
    <t>Sneakers</t>
  </si>
  <si>
    <t>Clothing</t>
  </si>
  <si>
    <t>South</t>
  </si>
  <si>
    <t>Online Transfer</t>
  </si>
  <si>
    <t>Cancelled</t>
  </si>
  <si>
    <t>Mark Davis</t>
  </si>
  <si>
    <t>New</t>
  </si>
  <si>
    <t>26-08-2024</t>
  </si>
  <si>
    <t>Chair</t>
  </si>
  <si>
    <t>Sarah Johnson</t>
  </si>
  <si>
    <t>29-07-2024</t>
  </si>
  <si>
    <t>Lamp</t>
  </si>
  <si>
    <t>Laptop</t>
  </si>
  <si>
    <t>Electronics</t>
  </si>
  <si>
    <t>20-04-2024</t>
  </si>
  <si>
    <t>T-Shirt</t>
  </si>
  <si>
    <t>Alice</t>
  </si>
  <si>
    <t>Yoga Mat</t>
  </si>
  <si>
    <t>Sports</t>
  </si>
  <si>
    <t>Tennis Racket</t>
  </si>
  <si>
    <t>North</t>
  </si>
  <si>
    <t>18-03-2024</t>
  </si>
  <si>
    <t>Dumbbells</t>
  </si>
  <si>
    <t>27-01-2024</t>
  </si>
  <si>
    <t>Eve</t>
  </si>
  <si>
    <t>28-06-2024</t>
  </si>
  <si>
    <t>22-10-2024</t>
  </si>
  <si>
    <t>Diana</t>
  </si>
  <si>
    <t>31-01-2024</t>
  </si>
  <si>
    <t>Smartphone</t>
  </si>
  <si>
    <t>18-06-2024</t>
  </si>
  <si>
    <t>29-08-2024</t>
  </si>
  <si>
    <t>24-05-2024</t>
  </si>
  <si>
    <t>13-10-2024</t>
  </si>
  <si>
    <t>Perfume</t>
  </si>
  <si>
    <t>Beauty</t>
  </si>
  <si>
    <t>14-03-2024</t>
  </si>
  <si>
    <t>24-09-2024</t>
  </si>
  <si>
    <t>Camera</t>
  </si>
  <si>
    <t>17-07-2024</t>
  </si>
  <si>
    <t>20-03-2024</t>
  </si>
  <si>
    <t>30-09-2024</t>
  </si>
  <si>
    <t>22-03-2024</t>
  </si>
  <si>
    <t>Headphones</t>
  </si>
  <si>
    <t>26-04-2024</t>
  </si>
  <si>
    <t>Football</t>
  </si>
  <si>
    <t>14-04-2024</t>
  </si>
  <si>
    <t>Shampoo</t>
  </si>
  <si>
    <t>13-05-2024</t>
  </si>
  <si>
    <t>17-06-2024</t>
  </si>
  <si>
    <t>Jeans</t>
  </si>
  <si>
    <t>24-04-2024</t>
  </si>
  <si>
    <t>30-05-2024</t>
  </si>
  <si>
    <t>23-08-2024</t>
  </si>
  <si>
    <t>31-03-2024</t>
  </si>
  <si>
    <t>23-01-2024</t>
  </si>
  <si>
    <t>15-01-2024</t>
  </si>
  <si>
    <t>Face Cream</t>
  </si>
  <si>
    <t>Jacket</t>
  </si>
  <si>
    <t>28-07-2024</t>
  </si>
  <si>
    <t>19-02-2024</t>
  </si>
  <si>
    <t>25-05-2024</t>
  </si>
  <si>
    <t>17-04-2024</t>
  </si>
  <si>
    <t>28-09-2024</t>
  </si>
  <si>
    <t>18-05-2024</t>
  </si>
  <si>
    <t>13-07-2024</t>
  </si>
  <si>
    <t>29-02-2024</t>
  </si>
  <si>
    <t>30-06-2024</t>
  </si>
  <si>
    <t>23-09-2024</t>
  </si>
  <si>
    <t>18-01-2024</t>
  </si>
  <si>
    <t>26-06-2024</t>
  </si>
  <si>
    <t>14-09-2024</t>
  </si>
  <si>
    <t>18-07-2024</t>
  </si>
  <si>
    <t>16-07-2024</t>
  </si>
  <si>
    <t>26-09-2024</t>
  </si>
  <si>
    <t>21-04-2024</t>
  </si>
  <si>
    <t>30-01-2024</t>
  </si>
  <si>
    <t>20-01-2024</t>
  </si>
  <si>
    <t>17-09-2024</t>
  </si>
  <si>
    <t>Lipstick</t>
  </si>
  <si>
    <t>28-08-2024</t>
  </si>
  <si>
    <t>27-04-2024</t>
  </si>
  <si>
    <t>13-03-2024</t>
  </si>
  <si>
    <t>13-04-2024</t>
  </si>
  <si>
    <t>23-06-2024</t>
  </si>
  <si>
    <t>29-03-2024</t>
  </si>
  <si>
    <t>13-01-2024</t>
  </si>
  <si>
    <t>21-03-2024</t>
  </si>
  <si>
    <t>30-10-2024</t>
  </si>
  <si>
    <t>24-02-2024</t>
  </si>
  <si>
    <t>14-01-2024</t>
  </si>
  <si>
    <t>16-03-2024</t>
  </si>
  <si>
    <t>19-06-2024</t>
  </si>
  <si>
    <t>19-05-2024</t>
  </si>
  <si>
    <t>30-04-2024</t>
  </si>
  <si>
    <t>14-10-2024</t>
  </si>
  <si>
    <t>26-05-2024</t>
  </si>
  <si>
    <t>24-07-2024</t>
  </si>
  <si>
    <t>21-11-2024</t>
  </si>
  <si>
    <t>25-08-2024</t>
  </si>
  <si>
    <t>20-09-2024</t>
  </si>
  <si>
    <t>14-11-2024</t>
  </si>
  <si>
    <t>Row Labels</t>
  </si>
  <si>
    <t>Grand Total</t>
  </si>
  <si>
    <t>Sum of Profit</t>
  </si>
  <si>
    <t xml:space="preserve">profit per region </t>
  </si>
  <si>
    <t xml:space="preserve">Sales per region </t>
  </si>
  <si>
    <t>Sales per categories</t>
  </si>
  <si>
    <t>Sum of Total Sale</t>
  </si>
  <si>
    <t>Ranking for region managers</t>
  </si>
  <si>
    <t>Sales By Category</t>
  </si>
  <si>
    <t xml:space="preserve">Top 4 Sellers </t>
  </si>
  <si>
    <t xml:space="preserve"> </t>
  </si>
  <si>
    <t>Sum of Quantity Sold2</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</si>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</sst>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quot;$&quot;* #,##0_);_(&quot;$&quot;* \(#,##0\);_(&quot;$&quot;* &quot;-&quot;??_);_(@_)"/>
    <numFmt numFmtId="165" formatCode="[$-F800]dddd\,\ mmmm\ dd\,\ yyyy"/>
    <numFmt numFmtId="166" formatCode="_(* #,##0_);_(* \(#,##0\);_(* &quot;-&quot;??_);_(@_)"/>
  </numFmts>
  <fonts count="2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Kulm Park"/>
    </font>
    <font>
      <sz val="11"/>
      <color theme="0"/>
      <name val="Kulm Park"/>
    </font>
    <font>
      <sz val="20"/>
      <color theme="1"/>
      <name val="Kulm Park"/>
    </font>
    <font>
      <sz val="11"/>
      <name val="Calibri"/>
      <family val="2"/>
      <scheme val="minor"/>
    </font>
    <font>
      <sz val="16"/>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5">
    <xf numFmtId="0" fontId="0" fillId="0" borderId="0" xfId="0"/>
    <xf numFmtId="14" fontId="18" fillId="0" borderId="0" xfId="0" applyNumberFormat="1" applyFont="1" applyAlignment="1">
      <alignment horizontal="center" vertical="center"/>
    </xf>
    <xf numFmtId="0" fontId="18" fillId="0" borderId="0" xfId="0" applyFont="1" applyAlignment="1">
      <alignment horizontal="center" vertical="center"/>
    </xf>
    <xf numFmtId="14" fontId="19" fillId="33" borderId="0" xfId="0" applyNumberFormat="1" applyFont="1" applyFill="1" applyAlignment="1">
      <alignment horizontal="center" vertical="center"/>
    </xf>
    <xf numFmtId="0" fontId="19" fillId="33"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1" applyNumberFormat="1" applyFont="1"/>
    <xf numFmtId="0" fontId="20" fillId="0" borderId="0" xfId="0" applyFont="1"/>
    <xf numFmtId="165" fontId="21" fillId="0" borderId="0" xfId="0" applyNumberFormat="1" applyFont="1"/>
    <xf numFmtId="164" fontId="0" fillId="0" borderId="0" xfId="0" applyNumberFormat="1"/>
    <xf numFmtId="166" fontId="0" fillId="0" borderId="0" xfId="43" applyNumberFormat="1" applyFont="1"/>
    <xf numFmtId="0" fontId="22" fillId="0" borderId="0" xfId="0" applyFont="1"/>
    <xf numFmtId="0" fontId="19" fillId="33" borderId="0" xfId="0" applyFont="1" applyFill="1" applyAlignment="1">
      <alignment horizontal="center"/>
    </xf>
    <xf numFmtId="0" fontId="0" fillId="33" borderId="0" xfId="0"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50">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ill>
        <patternFill>
          <fgColor rgb="FF002060"/>
          <bgColor rgb="FF002060"/>
        </patternFill>
      </fill>
    </dxf>
    <dxf>
      <font>
        <color rgb="FF002060"/>
        <name val="Arial"/>
        <family val="2"/>
        <scheme val="none"/>
      </font>
      <fill>
        <patternFill>
          <fgColor rgb="FF002060"/>
          <bgColor rgb="FF002060"/>
        </patternFill>
      </fill>
    </dxf>
    <dxf>
      <font>
        <b val="0"/>
        <i val="0"/>
        <strike val="0"/>
        <condense val="0"/>
        <extend val="0"/>
        <outline val="0"/>
        <shadow val="0"/>
        <u val="none"/>
        <vertAlign val="baseline"/>
        <sz val="11"/>
        <color theme="1"/>
        <name val="Kulm Park"/>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0"/>
        <name val="Kulm Park"/>
        <scheme val="none"/>
      </font>
      <fill>
        <patternFill patternType="solid">
          <fgColor indexed="64"/>
          <bgColor theme="1"/>
        </patternFill>
      </fill>
      <alignment horizontal="center" vertical="center" textRotation="0" wrapText="0" indent="0" justifyLastLine="0" shrinkToFit="0" readingOrder="0"/>
    </dxf>
    <dxf>
      <font>
        <sz val="20"/>
        <color rgb="FF002060"/>
        <name val="Arial"/>
        <family val="2"/>
        <scheme val="none"/>
      </font>
      <fill>
        <patternFill>
          <fgColor rgb="FF002060"/>
        </patternFill>
      </fill>
    </dxf>
  </dxfs>
  <tableStyles count="2" defaultTableStyle="TableStyleMedium2" defaultPivotStyle="PivotStyleLight16">
    <tableStyle name="Slicer Style 1" pivot="0" table="0" count="1" xr9:uid="{DB03ECE0-C2D9-43DD-9AE6-29DB291D75DC}">
      <tableStyleElement type="wholeTable" dxfId="249"/>
    </tableStyle>
    <tableStyle name="Slicer Style 2" pivot="0" table="0" count="10" xr9:uid="{5AE3B785-9FF8-45BE-A4C0-BF3E5B183EFC}">
      <tableStyleElement type="wholeTable" dxfId="231"/>
      <tableStyleElement type="headerRow" dxfId="230"/>
    </tableStyle>
  </tableStyles>
  <colors>
    <mruColors>
      <color rgb="FF002060"/>
    </mruColors>
  </colors>
  <extLst>
    <ext xmlns:x14="http://schemas.microsoft.com/office/spreadsheetml/2009/9/main" uri="{46F421CA-312F-682f-3DD2-61675219B42D}">
      <x14:dxfs count="8">
        <dxf>
          <font>
            <color rgb="FF002060"/>
            <name val="Cambria"/>
            <family val="1"/>
            <scheme val="none"/>
          </font>
          <fill>
            <patternFill>
              <fgColor rgb="FF002060"/>
              <bgColor rgb="FF002060"/>
            </patternFill>
          </fill>
        </dxf>
        <dxf>
          <font>
            <color rgb="FF002060"/>
          </font>
        </dxf>
        <dxf>
          <font>
            <b/>
            <i val="0"/>
            <sz val="38"/>
            <color theme="0"/>
            <name val="Arial"/>
            <family val="2"/>
            <scheme val="none"/>
          </font>
          <border diagonalUp="0" diagonalDown="0">
            <left style="medium">
              <color rgb="FF92D050"/>
            </left>
            <right/>
            <top/>
            <bottom/>
            <vertical/>
            <horizontal/>
          </border>
        </dxf>
        <dxf>
          <font>
            <b/>
            <i val="0"/>
            <sz val="36"/>
            <color theme="0"/>
            <name val="Arial"/>
            <family val="2"/>
            <scheme val="none"/>
          </font>
          <border diagonalUp="0" diagonalDown="0">
            <left style="thick">
              <color rgb="FF92D050"/>
            </left>
            <right/>
            <top/>
            <bottom/>
            <vertical/>
            <horizontal/>
          </border>
        </dxf>
        <dxf>
          <font>
            <color rgb="FF002060"/>
          </font>
        </dxf>
        <dxf>
          <font>
            <b/>
            <i val="0"/>
            <sz val="40"/>
            <color theme="0"/>
            <name val="Arial"/>
            <family val="2"/>
            <scheme val="none"/>
          </font>
          <border>
            <left style="thick">
              <color rgb="FF92D050"/>
            </left>
          </border>
        </dxf>
        <dxf>
          <font>
            <color rgb="FF002060"/>
          </font>
          <fill>
            <patternFill>
              <fgColor rgb="FF002060"/>
              <bgColor rgb="FF002060"/>
            </patternFill>
          </fill>
        </dxf>
        <dxf>
          <font>
            <b/>
            <i val="0"/>
            <sz val="28"/>
            <color theme="0" tint="-0.24994659260841701"/>
            <name val="Arial"/>
            <family val="2"/>
            <scheme val="none"/>
          </font>
          <border>
            <left style="thick">
              <color rgb="FF92D050"/>
            </left>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[Mini-Project_(Dashboard).xlsx]pivot table!Sales By Category</c:name>
    <c:fmtId val="4"/>
  </c:pivotSource>
  <c:chart>
    <c:autoTitleDeleted val="1"/>
    <c:pivotFmts>
      <c:pivotFmt>
        <c:idx val="0"/>
        <c:marker>
          <c:symbol val="none"/>
        </c:marker>
      </c:pivotFmt>
      <c:pivotFmt>
        <c:idx val="1"/>
        <c:marker>
          <c:symbol val="none"/>
        </c:marker>
      </c:pivotFmt>
      <c:pivotFmt>
        <c:idx val="2"/>
        <c:spPr>
          <a:solidFill>
            <a:srgbClr val="00206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32169055791103E-2"/>
          <c:y val="3.6764705882352942E-2"/>
          <c:w val="0.8950336496399488"/>
          <c:h val="0.72046163347228642"/>
        </c:manualLayout>
      </c:layout>
      <c:barChart>
        <c:barDir val="bar"/>
        <c:grouping val="clustered"/>
        <c:varyColors val="0"/>
        <c:ser>
          <c:idx val="0"/>
          <c:order val="0"/>
          <c:tx>
            <c:strRef>
              <c:f>'pivot table'!$O$3</c:f>
              <c:strCache>
                <c:ptCount val="1"/>
                <c:pt idx="0">
                  <c:v>Total</c:v>
                </c:pt>
              </c:strCache>
            </c:strRef>
          </c:tx>
          <c:spPr>
            <a:solidFill>
              <a:srgbClr val="002060"/>
            </a:solidFill>
          </c:spPr>
          <c:invertIfNegative val="0"/>
          <c:cat>
            <c:strRef>
              <c:f>'pivot table'!$N$4:$N$9</c:f>
              <c:strCache>
                <c:ptCount val="5"/>
                <c:pt idx="0">
                  <c:v>Beauty</c:v>
                </c:pt>
                <c:pt idx="1">
                  <c:v>Clothing</c:v>
                </c:pt>
                <c:pt idx="2">
                  <c:v>Electronics</c:v>
                </c:pt>
                <c:pt idx="3">
                  <c:v>Home Goods</c:v>
                </c:pt>
                <c:pt idx="4">
                  <c:v>Sports</c:v>
                </c:pt>
              </c:strCache>
            </c:strRef>
          </c:cat>
          <c:val>
            <c:numRef>
              <c:f>'pivot table'!$O$4:$O$9</c:f>
              <c:numCache>
                <c:formatCode>_("$"* #,##0_);_("$"* \(#,##0\);_("$"* "-"??_);_(@_)</c:formatCode>
                <c:ptCount val="5"/>
                <c:pt idx="0">
                  <c:v>29182.060000000009</c:v>
                </c:pt>
                <c:pt idx="1">
                  <c:v>27014.35</c:v>
                </c:pt>
                <c:pt idx="2">
                  <c:v>39309.78</c:v>
                </c:pt>
                <c:pt idx="3">
                  <c:v>51359.740000000005</c:v>
                </c:pt>
                <c:pt idx="4">
                  <c:v>61905.38</c:v>
                </c:pt>
              </c:numCache>
            </c:numRef>
          </c:val>
          <c:extLst>
            <c:ext xmlns:c16="http://schemas.microsoft.com/office/drawing/2014/chart" uri="{C3380CC4-5D6E-409C-BE32-E72D297353CC}">
              <c16:uniqueId val="{00000000-18F8-4BCC-BC3D-0BC984A691EE}"/>
            </c:ext>
          </c:extLst>
        </c:ser>
        <c:dLbls>
          <c:showLegendKey val="0"/>
          <c:showVal val="0"/>
          <c:showCatName val="0"/>
          <c:showSerName val="0"/>
          <c:showPercent val="0"/>
          <c:showBubbleSize val="0"/>
        </c:dLbls>
        <c:gapWidth val="30"/>
        <c:axId val="141254016"/>
        <c:axId val="141284480"/>
      </c:barChart>
      <c:catAx>
        <c:axId val="141254016"/>
        <c:scaling>
          <c:orientation val="minMax"/>
        </c:scaling>
        <c:delete val="0"/>
        <c:axPos val="l"/>
        <c:numFmt formatCode="General" sourceLinked="0"/>
        <c:majorTickMark val="out"/>
        <c:minorTickMark val="none"/>
        <c:tickLblPos val="nextTo"/>
        <c:txPr>
          <a:bodyPr/>
          <a:lstStyle/>
          <a:p>
            <a:pPr>
              <a:defRPr b="1"/>
            </a:pPr>
            <a:endParaRPr lang="en-US"/>
          </a:p>
        </c:txPr>
        <c:crossAx val="141284480"/>
        <c:crosses val="autoZero"/>
        <c:auto val="1"/>
        <c:lblAlgn val="ctr"/>
        <c:lblOffset val="100"/>
        <c:noMultiLvlLbl val="0"/>
      </c:catAx>
      <c:valAx>
        <c:axId val="141284480"/>
        <c:scaling>
          <c:orientation val="minMax"/>
        </c:scaling>
        <c:delete val="0"/>
        <c:axPos val="b"/>
        <c:majorGridlines>
          <c:spPr>
            <a:ln>
              <a:noFill/>
            </a:ln>
          </c:spPr>
        </c:majorGridlines>
        <c:numFmt formatCode="_(&quot;$&quot;* #,##0_);_(&quot;$&quot;* \(#,##0\);_(&quot;$&quot;* &quot;-&quot;??_);_(@_)" sourceLinked="1"/>
        <c:majorTickMark val="out"/>
        <c:minorTickMark val="none"/>
        <c:tickLblPos val="nextTo"/>
        <c:txPr>
          <a:bodyPr/>
          <a:lstStyle/>
          <a:p>
            <a:pPr>
              <a:defRPr b="1"/>
            </a:pPr>
            <a:endParaRPr lang="en-US"/>
          </a:p>
        </c:txPr>
        <c:crossAx val="141254016"/>
        <c:crosses val="autoZero"/>
        <c:crossBetween val="between"/>
        <c:dispUnits>
          <c:builtInUnit val="thousands"/>
          <c:dispUnitsLbl/>
        </c:dispUnits>
      </c:valAx>
    </c:plotArea>
    <c:plotVisOnly val="1"/>
    <c:dispBlanksAs val="gap"/>
    <c:showDLblsOverMax val="0"/>
  </c:chart>
  <c:spPr>
    <a:ln>
      <a:noFill/>
    </a:ln>
  </c:spPr>
  <c:txPr>
    <a:bodyPr/>
    <a:lstStyle/>
    <a:p>
      <a:pPr>
        <a:defRPr sz="3200">
          <a:latin typeface="Kulm Park"/>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[Mini-Project_(Dashboard).xlsx]pivot table!Sales per region</c:name>
    <c:fmtId val="10"/>
  </c:pivotSource>
  <c:chart>
    <c:autoTitleDeleted val="1"/>
    <c:pivotFmts>
      <c:pivotFmt>
        <c:idx val="0"/>
        <c:marker>
          <c:symbol val="none"/>
        </c:marker>
      </c:pivotFmt>
      <c:pivotFmt>
        <c:idx val="1"/>
        <c:marker>
          <c:symbol val="none"/>
        </c:marker>
      </c:pivotFmt>
      <c:pivotFmt>
        <c:idx val="2"/>
        <c:spPr>
          <a:solidFill>
            <a:srgbClr val="00206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solidFill>
              <a:srgbClr val="002060"/>
            </a:solidFill>
          </c:spPr>
          <c:invertIfNegative val="0"/>
          <c:cat>
            <c:strRef>
              <c:f>'pivot table'!$H$4:$H$8</c:f>
              <c:strCache>
                <c:ptCount val="4"/>
                <c:pt idx="0">
                  <c:v>West</c:v>
                </c:pt>
                <c:pt idx="1">
                  <c:v>North</c:v>
                </c:pt>
                <c:pt idx="2">
                  <c:v>East</c:v>
                </c:pt>
                <c:pt idx="3">
                  <c:v>South</c:v>
                </c:pt>
              </c:strCache>
            </c:strRef>
          </c:cat>
          <c:val>
            <c:numRef>
              <c:f>'pivot table'!$I$4:$I$8</c:f>
              <c:numCache>
                <c:formatCode>_("$"* #,##0_);_("$"* \(#,##0\);_("$"* "-"??_);_(@_)</c:formatCode>
                <c:ptCount val="4"/>
                <c:pt idx="0">
                  <c:v>31182.520000000004</c:v>
                </c:pt>
                <c:pt idx="1">
                  <c:v>50329.01</c:v>
                </c:pt>
                <c:pt idx="2">
                  <c:v>60100.989999999983</c:v>
                </c:pt>
                <c:pt idx="3">
                  <c:v>67158.789999999994</c:v>
                </c:pt>
              </c:numCache>
            </c:numRef>
          </c:val>
          <c:extLst>
            <c:ext xmlns:c16="http://schemas.microsoft.com/office/drawing/2014/chart" uri="{C3380CC4-5D6E-409C-BE32-E72D297353CC}">
              <c16:uniqueId val="{00000000-DB87-4078-A61E-2E50E5EE514B}"/>
            </c:ext>
          </c:extLst>
        </c:ser>
        <c:dLbls>
          <c:showLegendKey val="0"/>
          <c:showVal val="0"/>
          <c:showCatName val="0"/>
          <c:showSerName val="0"/>
          <c:showPercent val="0"/>
          <c:showBubbleSize val="0"/>
        </c:dLbls>
        <c:gapWidth val="30"/>
        <c:axId val="141829248"/>
        <c:axId val="141830784"/>
      </c:barChart>
      <c:catAx>
        <c:axId val="141829248"/>
        <c:scaling>
          <c:orientation val="minMax"/>
        </c:scaling>
        <c:delete val="0"/>
        <c:axPos val="l"/>
        <c:numFmt formatCode="General" sourceLinked="0"/>
        <c:majorTickMark val="out"/>
        <c:minorTickMark val="none"/>
        <c:tickLblPos val="nextTo"/>
        <c:txPr>
          <a:bodyPr/>
          <a:lstStyle/>
          <a:p>
            <a:pPr>
              <a:defRPr sz="2800" b="1">
                <a:latin typeface="Kulm Park"/>
              </a:defRPr>
            </a:pPr>
            <a:endParaRPr lang="en-US"/>
          </a:p>
        </c:txPr>
        <c:crossAx val="141830784"/>
        <c:crosses val="autoZero"/>
        <c:auto val="1"/>
        <c:lblAlgn val="ctr"/>
        <c:lblOffset val="100"/>
        <c:noMultiLvlLbl val="0"/>
      </c:catAx>
      <c:valAx>
        <c:axId val="141830784"/>
        <c:scaling>
          <c:orientation val="minMax"/>
        </c:scaling>
        <c:delete val="0"/>
        <c:axPos val="b"/>
        <c:majorGridlines>
          <c:spPr>
            <a:ln>
              <a:noFill/>
            </a:ln>
          </c:spPr>
        </c:majorGridlines>
        <c:numFmt formatCode="_(&quot;$&quot;* #,##0_);_(&quot;$&quot;* \(#,##0\);_(&quot;$&quot;* &quot;-&quot;??_);_(@_)" sourceLinked="1"/>
        <c:majorTickMark val="out"/>
        <c:minorTickMark val="none"/>
        <c:tickLblPos val="nextTo"/>
        <c:txPr>
          <a:bodyPr/>
          <a:lstStyle/>
          <a:p>
            <a:pPr>
              <a:defRPr sz="3200" b="1">
                <a:latin typeface="Kulm Park"/>
              </a:defRPr>
            </a:pPr>
            <a:endParaRPr lang="en-US"/>
          </a:p>
        </c:txPr>
        <c:crossAx val="141829248"/>
        <c:crosses val="autoZero"/>
        <c:crossBetween val="between"/>
        <c:dispUnits>
          <c:builtInUnit val="thousands"/>
          <c:dispUnitsLbl>
            <c:txPr>
              <a:bodyPr/>
              <a:lstStyle/>
              <a:p>
                <a:pPr>
                  <a:defRPr sz="3200">
                    <a:latin typeface="Kulm Park"/>
                  </a:defRPr>
                </a:pPr>
                <a:endParaRPr lang="en-US"/>
              </a:p>
            </c:txPr>
          </c:dispUnitsLbl>
        </c:dispUnits>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98013295783282"/>
          <c:y val="0.28063593613298338"/>
          <c:w val="0.7180397340843343"/>
          <c:h val="0.68313502478856813"/>
        </c:manualLayout>
      </c:layout>
      <c:doughnutChart>
        <c:varyColors val="1"/>
        <c:ser>
          <c:idx val="0"/>
          <c:order val="0"/>
          <c:dPt>
            <c:idx val="0"/>
            <c:bubble3D val="0"/>
            <c:spPr>
              <a:solidFill>
                <a:srgbClr val="002060"/>
              </a:solidFill>
            </c:spPr>
            <c:extLst>
              <c:ext xmlns:c16="http://schemas.microsoft.com/office/drawing/2014/chart" uri="{C3380CC4-5D6E-409C-BE32-E72D297353CC}">
                <c16:uniqueId val="{00000001-42AD-4142-9DDA-530C25F38A0B}"/>
              </c:ext>
            </c:extLst>
          </c:dPt>
          <c:dLbls>
            <c:dLbl>
              <c:idx val="0"/>
              <c:layout>
                <c:manualLayout>
                  <c:x val="0.19857000017854912"/>
                  <c:y val="-0.1594850521733563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AD-4142-9DDA-530C25F38A0B}"/>
                </c:ext>
              </c:extLst>
            </c:dLbl>
            <c:dLbl>
              <c:idx val="1"/>
              <c:layout>
                <c:manualLayout>
                  <c:x val="0.17150802578249139"/>
                  <c:y val="0.109044747455348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2AD-4142-9DDA-530C25F38A0B}"/>
                </c:ext>
              </c:extLst>
            </c:dLbl>
            <c:dLbl>
              <c:idx val="2"/>
              <c:layout>
                <c:manualLayout>
                  <c:x val="-0.17418929776635064"/>
                  <c:y val="-0.1542004993278279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AD-4142-9DDA-530C25F38A0B}"/>
                </c:ext>
              </c:extLst>
            </c:dLbl>
            <c:spPr>
              <a:noFill/>
              <a:ln>
                <a:noFill/>
              </a:ln>
              <a:effectLst/>
            </c:spPr>
            <c:txPr>
              <a:bodyPr/>
              <a:lstStyle/>
              <a:p>
                <a:pPr>
                  <a:defRPr sz="3200" b="1">
                    <a:latin typeface="KuLm Park"/>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table'!$T$9:$T$11</c:f>
              <c:strCache>
                <c:ptCount val="3"/>
                <c:pt idx="0">
                  <c:v>Cancelled</c:v>
                </c:pt>
                <c:pt idx="1">
                  <c:v>Completed</c:v>
                </c:pt>
                <c:pt idx="2">
                  <c:v>Pending</c:v>
                </c:pt>
              </c:strCache>
            </c:strRef>
          </c:cat>
          <c:val>
            <c:numRef>
              <c:f>'pivot table'!$U$9:$U$11</c:f>
              <c:numCache>
                <c:formatCode>General</c:formatCode>
                <c:ptCount val="3"/>
                <c:pt idx="0">
                  <c:v>192</c:v>
                </c:pt>
                <c:pt idx="1">
                  <c:v>373</c:v>
                </c:pt>
                <c:pt idx="2">
                  <c:v>235</c:v>
                </c:pt>
              </c:numCache>
            </c:numRef>
          </c:val>
          <c:extLst>
            <c:ext xmlns:c16="http://schemas.microsoft.com/office/drawing/2014/chart" uri="{C3380CC4-5D6E-409C-BE32-E72D297353CC}">
              <c16:uniqueId val="{00000004-42AD-4142-9DDA-530C25F38A0B}"/>
            </c:ext>
          </c:extLst>
        </c:ser>
        <c:dLbls>
          <c:showLegendKey val="0"/>
          <c:showVal val="0"/>
          <c:showCatName val="0"/>
          <c:showSerName val="0"/>
          <c:showPercent val="1"/>
          <c:showBubbleSize val="0"/>
          <c:showLeaderLines val="1"/>
        </c:dLbls>
        <c:firstSliceAng val="0"/>
        <c:holeSize val="60"/>
      </c:doughnutChart>
      <c:spPr>
        <a:ln>
          <a:noFill/>
        </a:ln>
      </c:spPr>
    </c:plotArea>
    <c:legend>
      <c:legendPos val="t"/>
      <c:layout>
        <c:manualLayout>
          <c:xMode val="edge"/>
          <c:yMode val="edge"/>
          <c:x val="0"/>
          <c:y val="3.9351851851851853E-2"/>
          <c:w val="1"/>
          <c:h val="0.17874279768283402"/>
        </c:manualLayout>
      </c:layout>
      <c:overlay val="0"/>
      <c:txPr>
        <a:bodyPr/>
        <a:lstStyle/>
        <a:p>
          <a:pPr>
            <a:defRPr sz="2600" b="1">
              <a:latin typeface="KuLm Park"/>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Practice Dataset'!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114300</xdr:rowOff>
    </xdr:from>
    <xdr:to>
      <xdr:col>56</xdr:col>
      <xdr:colOff>533400</xdr:colOff>
      <xdr:row>103</xdr:row>
      <xdr:rowOff>38100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0" y="114300"/>
          <a:ext cx="34671000" cy="19697700"/>
        </a:xfrm>
        <a:prstGeom prst="roundRect">
          <a:avLst>
            <a:gd name="adj" fmla="val 1497"/>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114300</xdr:rowOff>
    </xdr:from>
    <xdr:to>
      <xdr:col>7</xdr:col>
      <xdr:colOff>190500</xdr:colOff>
      <xdr:row>103</xdr:row>
      <xdr:rowOff>114300</xdr:rowOff>
    </xdr:to>
    <xdr:sp macro="" textlink="">
      <xdr:nvSpPr>
        <xdr:cNvPr id="3" name="Round Same Side Corner Rectangle 2">
          <a:extLst>
            <a:ext uri="{FF2B5EF4-FFF2-40B4-BE49-F238E27FC236}">
              <a16:creationId xmlns:a16="http://schemas.microsoft.com/office/drawing/2014/main" id="{00000000-0008-0000-0200-000003000000}"/>
            </a:ext>
          </a:extLst>
        </xdr:cNvPr>
        <xdr:cNvSpPr/>
      </xdr:nvSpPr>
      <xdr:spPr>
        <a:xfrm rot="16200000">
          <a:off x="-7696200" y="7810500"/>
          <a:ext cx="19850100" cy="4457700"/>
        </a:xfrm>
        <a:prstGeom prst="round2Same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VVV</a:t>
          </a:r>
        </a:p>
      </xdr:txBody>
    </xdr:sp>
    <xdr:clientData/>
  </xdr:twoCellAnchor>
  <xdr:twoCellAnchor>
    <xdr:from>
      <xdr:col>7</xdr:col>
      <xdr:colOff>457200</xdr:colOff>
      <xdr:row>13</xdr:row>
      <xdr:rowOff>152400</xdr:rowOff>
    </xdr:from>
    <xdr:to>
      <xdr:col>14</xdr:col>
      <xdr:colOff>571500</xdr:colOff>
      <xdr:row>32</xdr:row>
      <xdr:rowOff>38100</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4724400" y="2628900"/>
          <a:ext cx="4381500" cy="3505200"/>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266700</xdr:colOff>
      <xdr:row>14</xdr:row>
      <xdr:rowOff>0</xdr:rowOff>
    </xdr:from>
    <xdr:to>
      <xdr:col>22</xdr:col>
      <xdr:colOff>381000</xdr:colOff>
      <xdr:row>32</xdr:row>
      <xdr:rowOff>38100</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9410700" y="2667000"/>
          <a:ext cx="4381500" cy="34671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76200</xdr:colOff>
      <xdr:row>13</xdr:row>
      <xdr:rowOff>114300</xdr:rowOff>
    </xdr:from>
    <xdr:to>
      <xdr:col>38</xdr:col>
      <xdr:colOff>190500</xdr:colOff>
      <xdr:row>31</xdr:row>
      <xdr:rowOff>152400</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18973800" y="2590800"/>
          <a:ext cx="4381500" cy="34671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190500</xdr:colOff>
      <xdr:row>13</xdr:row>
      <xdr:rowOff>114300</xdr:rowOff>
    </xdr:from>
    <xdr:to>
      <xdr:col>30</xdr:col>
      <xdr:colOff>304800</xdr:colOff>
      <xdr:row>32</xdr:row>
      <xdr:rowOff>0</xdr:rowOff>
    </xdr:to>
    <xdr:sp macro="" textlink="">
      <xdr:nvSpPr>
        <xdr:cNvPr id="19" name="Rounded Rectangle 18">
          <a:extLst>
            <a:ext uri="{FF2B5EF4-FFF2-40B4-BE49-F238E27FC236}">
              <a16:creationId xmlns:a16="http://schemas.microsoft.com/office/drawing/2014/main" id="{00000000-0008-0000-0200-000013000000}"/>
            </a:ext>
          </a:extLst>
        </xdr:cNvPr>
        <xdr:cNvSpPr/>
      </xdr:nvSpPr>
      <xdr:spPr>
        <a:xfrm>
          <a:off x="14211300" y="2590800"/>
          <a:ext cx="4381500" cy="35052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495300</xdr:colOff>
      <xdr:row>13</xdr:row>
      <xdr:rowOff>114300</xdr:rowOff>
    </xdr:from>
    <xdr:to>
      <xdr:col>46</xdr:col>
      <xdr:colOff>419100</xdr:colOff>
      <xdr:row>32</xdr:row>
      <xdr:rowOff>76200</xdr:rowOff>
    </xdr:to>
    <xdr:sp macro="" textlink="">
      <xdr:nvSpPr>
        <xdr:cNvPr id="21" name="Rounded Rectangle 20">
          <a:extLst>
            <a:ext uri="{FF2B5EF4-FFF2-40B4-BE49-F238E27FC236}">
              <a16:creationId xmlns:a16="http://schemas.microsoft.com/office/drawing/2014/main" id="{00000000-0008-0000-0200-000015000000}"/>
            </a:ext>
          </a:extLst>
        </xdr:cNvPr>
        <xdr:cNvSpPr/>
      </xdr:nvSpPr>
      <xdr:spPr>
        <a:xfrm>
          <a:off x="23660100" y="2590800"/>
          <a:ext cx="4800600" cy="35814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457200</xdr:colOff>
      <xdr:row>22</xdr:row>
      <xdr:rowOff>76200</xdr:rowOff>
    </xdr:from>
    <xdr:to>
      <xdr:col>14</xdr:col>
      <xdr:colOff>152400</xdr:colOff>
      <xdr:row>29</xdr:row>
      <xdr:rowOff>38100</xdr:rowOff>
    </xdr:to>
    <xdr:sp macro="" textlink="'pivot table'!B14">
      <xdr:nvSpPr>
        <xdr:cNvPr id="23" name="TextBox 22">
          <a:extLst>
            <a:ext uri="{FF2B5EF4-FFF2-40B4-BE49-F238E27FC236}">
              <a16:creationId xmlns:a16="http://schemas.microsoft.com/office/drawing/2014/main" id="{00000000-0008-0000-0200-000017000000}"/>
            </a:ext>
          </a:extLst>
        </xdr:cNvPr>
        <xdr:cNvSpPr txBox="1"/>
      </xdr:nvSpPr>
      <xdr:spPr>
        <a:xfrm>
          <a:off x="4724400" y="4267200"/>
          <a:ext cx="39624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4A78D8-7AAE-4D83-B322-172A633C816F}" type="TxLink">
            <a:rPr lang="en-US" sz="6600" b="1">
              <a:solidFill>
                <a:schemeClr val="bg1"/>
              </a:solidFill>
              <a:latin typeface="KuLm Park"/>
            </a:rPr>
            <a:pPr algn="l"/>
            <a:t> $8,037 </a:t>
          </a:fld>
          <a:endParaRPr lang="en-US" sz="6600" b="1">
            <a:solidFill>
              <a:schemeClr val="bg1"/>
            </a:solidFill>
            <a:latin typeface="KuLm Park"/>
          </a:endParaRPr>
        </a:p>
      </xdr:txBody>
    </xdr:sp>
    <xdr:clientData/>
  </xdr:twoCellAnchor>
  <xdr:twoCellAnchor>
    <xdr:from>
      <xdr:col>7</xdr:col>
      <xdr:colOff>495300</xdr:colOff>
      <xdr:row>26</xdr:row>
      <xdr:rowOff>0</xdr:rowOff>
    </xdr:from>
    <xdr:to>
      <xdr:col>13</xdr:col>
      <xdr:colOff>114300</xdr:colOff>
      <xdr:row>32</xdr:row>
      <xdr:rowOff>152400</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4762500" y="4953000"/>
          <a:ext cx="3276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t> $</a:t>
          </a:r>
          <a:r>
            <a:rPr lang="en-US" sz="3600" b="1">
              <a:solidFill>
                <a:schemeClr val="bg1"/>
              </a:solidFill>
              <a:latin typeface="Arial" panose="020B0604020202020204" pitchFamily="34" charset="0"/>
              <a:cs typeface="Arial" panose="020B0604020202020204" pitchFamily="34" charset="0"/>
            </a:rPr>
            <a:t>Total</a:t>
          </a:r>
          <a:r>
            <a:rPr lang="en-US" sz="3600" b="1" baseline="0">
              <a:solidFill>
                <a:schemeClr val="bg1"/>
              </a:solidFill>
              <a:latin typeface="Arial" panose="020B0604020202020204" pitchFamily="34" charset="0"/>
              <a:cs typeface="Arial" panose="020B0604020202020204" pitchFamily="34" charset="0"/>
            </a:rPr>
            <a:t> Profit</a:t>
          </a:r>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419100</xdr:colOff>
      <xdr:row>9</xdr:row>
      <xdr:rowOff>114300</xdr:rowOff>
    </xdr:from>
    <xdr:to>
      <xdr:col>13</xdr:col>
      <xdr:colOff>0</xdr:colOff>
      <xdr:row>16</xdr:row>
      <xdr:rowOff>152400</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5905500" y="1828800"/>
          <a:ext cx="20193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US" sz="1800">
            <a:solidFill>
              <a:schemeClr val="bg1"/>
            </a:solidFill>
          </a:endParaRPr>
        </a:p>
      </xdr:txBody>
    </xdr:sp>
    <xdr:clientData/>
  </xdr:twoCellAnchor>
  <xdr:twoCellAnchor>
    <xdr:from>
      <xdr:col>8</xdr:col>
      <xdr:colOff>228600</xdr:colOff>
      <xdr:row>16</xdr:row>
      <xdr:rowOff>114300</xdr:rowOff>
    </xdr:from>
    <xdr:to>
      <xdr:col>9</xdr:col>
      <xdr:colOff>114300</xdr:colOff>
      <xdr:row>19</xdr:row>
      <xdr:rowOff>38100</xdr:rowOff>
    </xdr:to>
    <xdr:sp macro="" textlink="">
      <xdr:nvSpPr>
        <xdr:cNvPr id="26" name="Oval 25">
          <a:extLst>
            <a:ext uri="{FF2B5EF4-FFF2-40B4-BE49-F238E27FC236}">
              <a16:creationId xmlns:a16="http://schemas.microsoft.com/office/drawing/2014/main" id="{00000000-0008-0000-0200-00001A000000}"/>
            </a:ext>
          </a:extLst>
        </xdr:cNvPr>
        <xdr:cNvSpPr/>
      </xdr:nvSpPr>
      <xdr:spPr>
        <a:xfrm>
          <a:off x="5105400" y="3162300"/>
          <a:ext cx="495300" cy="4953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17</xdr:row>
      <xdr:rowOff>0</xdr:rowOff>
    </xdr:from>
    <xdr:to>
      <xdr:col>15</xdr:col>
      <xdr:colOff>228600</xdr:colOff>
      <xdr:row>26</xdr:row>
      <xdr:rowOff>0</xdr:rowOff>
    </xdr:to>
    <xdr:sp macro="" textlink="'pivot table'!D2">
      <xdr:nvSpPr>
        <xdr:cNvPr id="31" name="TextBox 30">
          <a:extLst>
            <a:ext uri="{FF2B5EF4-FFF2-40B4-BE49-F238E27FC236}">
              <a16:creationId xmlns:a16="http://schemas.microsoft.com/office/drawing/2014/main" id="{00000000-0008-0000-0200-00001F000000}"/>
            </a:ext>
          </a:extLst>
        </xdr:cNvPr>
        <xdr:cNvSpPr txBox="1"/>
      </xdr:nvSpPr>
      <xdr:spPr>
        <a:xfrm>
          <a:off x="4762500" y="3238500"/>
          <a:ext cx="46101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C48DD24-3AF1-4F28-AFA9-82D0C8550A20}" type="TxLink">
            <a:rPr lang="en-US" sz="2800" b="1">
              <a:solidFill>
                <a:schemeClr val="bg1"/>
              </a:solidFill>
              <a:latin typeface="KuLm Park"/>
            </a:rPr>
            <a:pPr/>
            <a:t>Wednesday, March 25, 2026</a:t>
          </a:fld>
          <a:endParaRPr lang="en-US" sz="2800" b="1">
            <a:solidFill>
              <a:schemeClr val="bg1"/>
            </a:solidFill>
            <a:latin typeface="KuLm Park"/>
          </a:endParaRPr>
        </a:p>
      </xdr:txBody>
    </xdr:sp>
    <xdr:clientData/>
  </xdr:twoCellAnchor>
  <xdr:twoCellAnchor>
    <xdr:from>
      <xdr:col>9</xdr:col>
      <xdr:colOff>266700</xdr:colOff>
      <xdr:row>14</xdr:row>
      <xdr:rowOff>152400</xdr:rowOff>
    </xdr:from>
    <xdr:to>
      <xdr:col>12</xdr:col>
      <xdr:colOff>457200</xdr:colOff>
      <xdr:row>22</xdr:row>
      <xdr:rowOff>0</xdr:rowOff>
    </xdr:to>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5753100" y="2819400"/>
          <a:ext cx="20193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solidFill>
                <a:schemeClr val="bg1"/>
              </a:solidFill>
            </a:rPr>
            <a:t> </a:t>
          </a:r>
          <a:r>
            <a:rPr lang="en-US" sz="3600" b="1">
              <a:solidFill>
                <a:schemeClr val="bg1"/>
              </a:solidFill>
            </a:rPr>
            <a:t>OnTime</a:t>
          </a:r>
          <a:endParaRPr lang="en-US" sz="4000" b="1">
            <a:solidFill>
              <a:schemeClr val="bg1"/>
            </a:solidFill>
          </a:endParaRPr>
        </a:p>
      </xdr:txBody>
    </xdr:sp>
    <xdr:clientData/>
  </xdr:twoCellAnchor>
  <xdr:twoCellAnchor>
    <xdr:from>
      <xdr:col>15</xdr:col>
      <xdr:colOff>419100</xdr:colOff>
      <xdr:row>20</xdr:row>
      <xdr:rowOff>0</xdr:rowOff>
    </xdr:from>
    <xdr:to>
      <xdr:col>21</xdr:col>
      <xdr:colOff>533400</xdr:colOff>
      <xdr:row>28</xdr:row>
      <xdr:rowOff>0</xdr:rowOff>
    </xdr:to>
    <xdr:sp macro="" textlink="'pivot table'!B4">
      <xdr:nvSpPr>
        <xdr:cNvPr id="39" name="TextBox 38">
          <a:extLst>
            <a:ext uri="{FF2B5EF4-FFF2-40B4-BE49-F238E27FC236}">
              <a16:creationId xmlns:a16="http://schemas.microsoft.com/office/drawing/2014/main" id="{00000000-0008-0000-0200-000027000000}"/>
            </a:ext>
          </a:extLst>
        </xdr:cNvPr>
        <xdr:cNvSpPr txBox="1"/>
      </xdr:nvSpPr>
      <xdr:spPr>
        <a:xfrm>
          <a:off x="9563100" y="3810000"/>
          <a:ext cx="3771900" cy="15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DAE29B9-117E-4132-A470-225F3003154D}" type="TxLink">
            <a:rPr lang="en-US" sz="6600" b="1">
              <a:solidFill>
                <a:sysClr val="windowText" lastClr="000000"/>
              </a:solidFill>
              <a:latin typeface="KuLm Park"/>
            </a:rPr>
            <a:pPr algn="l"/>
            <a:t> $2,101 </a:t>
          </a:fld>
          <a:endParaRPr lang="en-US" sz="6600" b="1">
            <a:solidFill>
              <a:sysClr val="windowText" lastClr="000000"/>
            </a:solidFill>
            <a:latin typeface="KuLm Park"/>
          </a:endParaRPr>
        </a:p>
      </xdr:txBody>
    </xdr:sp>
    <xdr:clientData/>
  </xdr:twoCellAnchor>
  <xdr:twoCellAnchor>
    <xdr:from>
      <xdr:col>16</xdr:col>
      <xdr:colOff>114300</xdr:colOff>
      <xdr:row>26</xdr:row>
      <xdr:rowOff>0</xdr:rowOff>
    </xdr:from>
    <xdr:to>
      <xdr:col>22</xdr:col>
      <xdr:colOff>190500</xdr:colOff>
      <xdr:row>32</xdr:row>
      <xdr:rowOff>152400</xdr:rowOff>
    </xdr:to>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9867900" y="4953000"/>
          <a:ext cx="3733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a:solidFill>
                <a:sysClr val="windowText" lastClr="000000"/>
              </a:solidFill>
              <a:latin typeface="Arial" panose="020B0604020202020204" pitchFamily="34" charset="0"/>
              <a:cs typeface="Arial" panose="020B0604020202020204" pitchFamily="34" charset="0"/>
            </a:rPr>
            <a:t>East</a:t>
          </a:r>
          <a:r>
            <a:rPr lang="en-US" sz="3200" b="1" baseline="0">
              <a:solidFill>
                <a:sysClr val="windowText" lastClr="000000"/>
              </a:solidFill>
              <a:latin typeface="Arial" panose="020B0604020202020204" pitchFamily="34" charset="0"/>
              <a:cs typeface="Arial" panose="020B0604020202020204" pitchFamily="34" charset="0"/>
            </a:rPr>
            <a:t> </a:t>
          </a:r>
          <a:r>
            <a:rPr lang="en-US" sz="4000" b="1" baseline="0">
              <a:solidFill>
                <a:sysClr val="windowText" lastClr="000000"/>
              </a:solidFill>
              <a:latin typeface="Arial" panose="020B0604020202020204" pitchFamily="34" charset="0"/>
              <a:cs typeface="Arial" panose="020B0604020202020204" pitchFamily="34" charset="0"/>
            </a:rPr>
            <a:t>Region</a:t>
          </a:r>
          <a:endParaRPr lang="en-US" sz="4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40</xdr:col>
      <xdr:colOff>228600</xdr:colOff>
      <xdr:row>13</xdr:row>
      <xdr:rowOff>152400</xdr:rowOff>
    </xdr:from>
    <xdr:to>
      <xdr:col>43</xdr:col>
      <xdr:colOff>571500</xdr:colOff>
      <xdr:row>21</xdr:row>
      <xdr:rowOff>0</xdr:rowOff>
    </xdr:to>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24612600" y="2628900"/>
          <a:ext cx="21717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solidFill>
                <a:schemeClr val="bg1"/>
              </a:solidFill>
            </a:rPr>
            <a:t> </a:t>
          </a:r>
          <a:r>
            <a:rPr lang="en-US" sz="3200" b="1">
              <a:solidFill>
                <a:sysClr val="windowText" lastClr="000000"/>
              </a:solidFill>
            </a:rPr>
            <a:t>OnTime</a:t>
          </a:r>
          <a:endParaRPr lang="en-US" sz="1800" b="1">
            <a:solidFill>
              <a:sysClr val="windowText" lastClr="000000"/>
            </a:solidFill>
          </a:endParaRPr>
        </a:p>
      </xdr:txBody>
    </xdr:sp>
    <xdr:clientData/>
  </xdr:twoCellAnchor>
  <xdr:twoCellAnchor>
    <xdr:from>
      <xdr:col>23</xdr:col>
      <xdr:colOff>571500</xdr:colOff>
      <xdr:row>20</xdr:row>
      <xdr:rowOff>38100</xdr:rowOff>
    </xdr:from>
    <xdr:to>
      <xdr:col>29</xdr:col>
      <xdr:colOff>381000</xdr:colOff>
      <xdr:row>27</xdr:row>
      <xdr:rowOff>0</xdr:rowOff>
    </xdr:to>
    <xdr:sp macro="" textlink="'pivot table'!B5">
      <xdr:nvSpPr>
        <xdr:cNvPr id="42" name="TextBox 41">
          <a:extLst>
            <a:ext uri="{FF2B5EF4-FFF2-40B4-BE49-F238E27FC236}">
              <a16:creationId xmlns:a16="http://schemas.microsoft.com/office/drawing/2014/main" id="{00000000-0008-0000-0200-00002A000000}"/>
            </a:ext>
          </a:extLst>
        </xdr:cNvPr>
        <xdr:cNvSpPr txBox="1"/>
      </xdr:nvSpPr>
      <xdr:spPr>
        <a:xfrm>
          <a:off x="14592300" y="3848100"/>
          <a:ext cx="34671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3DED555-084D-443A-B2BE-C5D9D9C28BEA}" type="TxLink">
            <a:rPr lang="en-US" sz="6600" b="1">
              <a:solidFill>
                <a:sysClr val="windowText" lastClr="000000"/>
              </a:solidFill>
              <a:latin typeface="KuLm Park"/>
            </a:rPr>
            <a:pPr algn="l"/>
            <a:t> $2,145 </a:t>
          </a:fld>
          <a:endParaRPr lang="en-US" sz="6600" b="1">
            <a:solidFill>
              <a:sysClr val="windowText" lastClr="000000"/>
            </a:solidFill>
            <a:latin typeface="KuLm Park"/>
          </a:endParaRPr>
        </a:p>
      </xdr:txBody>
    </xdr:sp>
    <xdr:clientData/>
  </xdr:twoCellAnchor>
  <xdr:twoCellAnchor>
    <xdr:from>
      <xdr:col>24</xdr:col>
      <xdr:colOff>76200</xdr:colOff>
      <xdr:row>26</xdr:row>
      <xdr:rowOff>0</xdr:rowOff>
    </xdr:from>
    <xdr:to>
      <xdr:col>30</xdr:col>
      <xdr:colOff>342900</xdr:colOff>
      <xdr:row>32</xdr:row>
      <xdr:rowOff>152400</xdr:rowOff>
    </xdr:to>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14706600" y="4953000"/>
          <a:ext cx="39243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baseline="0">
              <a:solidFill>
                <a:sysClr val="windowText" lastClr="000000"/>
              </a:solidFill>
              <a:latin typeface="Arial" panose="020B0604020202020204" pitchFamily="34" charset="0"/>
              <a:cs typeface="Arial" panose="020B0604020202020204" pitchFamily="34" charset="0"/>
            </a:rPr>
            <a:t>N</a:t>
          </a:r>
          <a:r>
            <a:rPr lang="en-US" sz="4000" b="1" baseline="0">
              <a:solidFill>
                <a:sysClr val="windowText" lastClr="000000"/>
              </a:solidFill>
              <a:latin typeface="Arial" panose="020B0604020202020204" pitchFamily="34" charset="0"/>
              <a:cs typeface="Arial" panose="020B0604020202020204" pitchFamily="34" charset="0"/>
            </a:rPr>
            <a:t>orth </a:t>
          </a:r>
          <a:r>
            <a:rPr lang="en-US" sz="3600" b="1" baseline="0">
              <a:solidFill>
                <a:sysClr val="windowText" lastClr="000000"/>
              </a:solidFill>
              <a:latin typeface="Arial" panose="020B0604020202020204" pitchFamily="34" charset="0"/>
              <a:cs typeface="Arial" panose="020B0604020202020204" pitchFamily="34" charset="0"/>
            </a:rPr>
            <a:t>Region</a:t>
          </a:r>
          <a:endParaRPr lang="en-US" sz="4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32</xdr:col>
      <xdr:colOff>0</xdr:colOff>
      <xdr:row>26</xdr:row>
      <xdr:rowOff>0</xdr:rowOff>
    </xdr:from>
    <xdr:to>
      <xdr:col>38</xdr:col>
      <xdr:colOff>0</xdr:colOff>
      <xdr:row>32</xdr:row>
      <xdr:rowOff>152400</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19507200" y="4953000"/>
          <a:ext cx="3657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baseline="0">
              <a:solidFill>
                <a:sysClr val="windowText" lastClr="000000"/>
              </a:solidFill>
              <a:latin typeface="Arial" panose="020B0604020202020204" pitchFamily="34" charset="0"/>
              <a:cs typeface="Arial" panose="020B0604020202020204" pitchFamily="34" charset="0"/>
            </a:rPr>
            <a:t>South Region</a:t>
          </a:r>
          <a:endParaRPr lang="en-US" sz="4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31</xdr:col>
      <xdr:colOff>419100</xdr:colOff>
      <xdr:row>19</xdr:row>
      <xdr:rowOff>114300</xdr:rowOff>
    </xdr:from>
    <xdr:to>
      <xdr:col>37</xdr:col>
      <xdr:colOff>228600</xdr:colOff>
      <xdr:row>26</xdr:row>
      <xdr:rowOff>76200</xdr:rowOff>
    </xdr:to>
    <xdr:sp macro="" textlink="'pivot table'!B6">
      <xdr:nvSpPr>
        <xdr:cNvPr id="46" name="TextBox 45">
          <a:extLst>
            <a:ext uri="{FF2B5EF4-FFF2-40B4-BE49-F238E27FC236}">
              <a16:creationId xmlns:a16="http://schemas.microsoft.com/office/drawing/2014/main" id="{00000000-0008-0000-0200-00002E000000}"/>
            </a:ext>
          </a:extLst>
        </xdr:cNvPr>
        <xdr:cNvSpPr txBox="1"/>
      </xdr:nvSpPr>
      <xdr:spPr>
        <a:xfrm>
          <a:off x="19316700" y="3733800"/>
          <a:ext cx="34671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682B93-5C11-43EC-A1BB-76874561662A}" type="TxLink">
            <a:rPr lang="en-US" sz="6600" b="1">
              <a:solidFill>
                <a:sysClr val="windowText" lastClr="000000"/>
              </a:solidFill>
              <a:latin typeface="KuLm Park"/>
            </a:rPr>
            <a:pPr algn="l"/>
            <a:t> $2,167 </a:t>
          </a:fld>
          <a:endParaRPr lang="en-US" sz="6600" b="1">
            <a:solidFill>
              <a:sysClr val="windowText" lastClr="000000"/>
            </a:solidFill>
            <a:latin typeface="KuLm Park"/>
          </a:endParaRPr>
        </a:p>
      </xdr:txBody>
    </xdr:sp>
    <xdr:clientData/>
  </xdr:twoCellAnchor>
  <xdr:twoCellAnchor>
    <xdr:from>
      <xdr:col>39</xdr:col>
      <xdr:colOff>0</xdr:colOff>
      <xdr:row>20</xdr:row>
      <xdr:rowOff>38100</xdr:rowOff>
    </xdr:from>
    <xdr:to>
      <xdr:col>44</xdr:col>
      <xdr:colOff>419100</xdr:colOff>
      <xdr:row>27</xdr:row>
      <xdr:rowOff>0</xdr:rowOff>
    </xdr:to>
    <xdr:sp macro="" textlink="'pivot table'!B7">
      <xdr:nvSpPr>
        <xdr:cNvPr id="47" name="TextBox 46">
          <a:extLst>
            <a:ext uri="{FF2B5EF4-FFF2-40B4-BE49-F238E27FC236}">
              <a16:creationId xmlns:a16="http://schemas.microsoft.com/office/drawing/2014/main" id="{00000000-0008-0000-0200-00002F000000}"/>
            </a:ext>
          </a:extLst>
        </xdr:cNvPr>
        <xdr:cNvSpPr txBox="1"/>
      </xdr:nvSpPr>
      <xdr:spPr>
        <a:xfrm>
          <a:off x="23774400" y="3848100"/>
          <a:ext cx="34671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243FC85-2AD1-46B4-81D1-195F17A0D788}" type="TxLink">
            <a:rPr lang="en-US" sz="6600" b="1">
              <a:solidFill>
                <a:sysClr val="windowText" lastClr="000000"/>
              </a:solidFill>
              <a:latin typeface="KuLm Park"/>
            </a:rPr>
            <a:pPr algn="l"/>
            <a:t> $1,624 </a:t>
          </a:fld>
          <a:endParaRPr lang="en-US" sz="6600" b="1">
            <a:solidFill>
              <a:sysClr val="windowText" lastClr="000000"/>
            </a:solidFill>
            <a:latin typeface="KuLm Park"/>
          </a:endParaRPr>
        </a:p>
      </xdr:txBody>
    </xdr:sp>
    <xdr:clientData/>
  </xdr:twoCellAnchor>
  <xdr:twoCellAnchor>
    <xdr:from>
      <xdr:col>39</xdr:col>
      <xdr:colOff>419100</xdr:colOff>
      <xdr:row>26</xdr:row>
      <xdr:rowOff>0</xdr:rowOff>
    </xdr:from>
    <xdr:to>
      <xdr:col>45</xdr:col>
      <xdr:colOff>152400</xdr:colOff>
      <xdr:row>32</xdr:row>
      <xdr:rowOff>152400</xdr:rowOff>
    </xdr:to>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24193500" y="4953000"/>
          <a:ext cx="33909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baseline="0">
              <a:solidFill>
                <a:sysClr val="windowText" lastClr="000000"/>
              </a:solidFill>
              <a:latin typeface="Arial" panose="020B0604020202020204" pitchFamily="34" charset="0"/>
              <a:cs typeface="Arial" panose="020B0604020202020204" pitchFamily="34" charset="0"/>
            </a:rPr>
            <a:t>West</a:t>
          </a:r>
          <a:r>
            <a:rPr lang="en-US" sz="3600" baseline="0">
              <a:solidFill>
                <a:sysClr val="windowText" lastClr="000000"/>
              </a:solidFill>
              <a:latin typeface="Arial" panose="020B0604020202020204" pitchFamily="34" charset="0"/>
              <a:cs typeface="Arial" panose="020B0604020202020204" pitchFamily="34" charset="0"/>
            </a:rPr>
            <a:t> </a:t>
          </a:r>
          <a:r>
            <a:rPr lang="en-US" sz="3600" b="1" baseline="0">
              <a:solidFill>
                <a:sysClr val="windowText" lastClr="000000"/>
              </a:solidFill>
              <a:latin typeface="Arial" panose="020B0604020202020204" pitchFamily="34" charset="0"/>
              <a:cs typeface="Arial" panose="020B0604020202020204" pitchFamily="34" charset="0"/>
            </a:rPr>
            <a:t>Region</a:t>
          </a:r>
          <a:endParaRPr lang="en-US" sz="4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32</xdr:col>
      <xdr:colOff>533400</xdr:colOff>
      <xdr:row>14</xdr:row>
      <xdr:rowOff>0</xdr:rowOff>
    </xdr:from>
    <xdr:to>
      <xdr:col>36</xdr:col>
      <xdr:colOff>266700</xdr:colOff>
      <xdr:row>21</xdr:row>
      <xdr:rowOff>38100</xdr:rowOff>
    </xdr:to>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20040600" y="2667000"/>
          <a:ext cx="21717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solidFill>
                <a:schemeClr val="bg1"/>
              </a:solidFill>
            </a:rPr>
            <a:t> </a:t>
          </a:r>
          <a:r>
            <a:rPr lang="en-US" sz="3200" b="1">
              <a:solidFill>
                <a:sysClr val="windowText" lastClr="000000"/>
              </a:solidFill>
            </a:rPr>
            <a:t>OnTime</a:t>
          </a:r>
          <a:endParaRPr lang="en-US" sz="1800" b="1">
            <a:solidFill>
              <a:sysClr val="windowText" lastClr="000000"/>
            </a:solidFill>
          </a:endParaRPr>
        </a:p>
      </xdr:txBody>
    </xdr:sp>
    <xdr:clientData/>
  </xdr:twoCellAnchor>
  <xdr:twoCellAnchor>
    <xdr:from>
      <xdr:col>25</xdr:col>
      <xdr:colOff>0</xdr:colOff>
      <xdr:row>14</xdr:row>
      <xdr:rowOff>0</xdr:rowOff>
    </xdr:from>
    <xdr:to>
      <xdr:col>28</xdr:col>
      <xdr:colOff>342900</xdr:colOff>
      <xdr:row>21</xdr:row>
      <xdr:rowOff>38100</xdr:rowOff>
    </xdr:to>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15240000" y="2667000"/>
          <a:ext cx="21717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solidFill>
                <a:schemeClr val="bg1"/>
              </a:solidFill>
            </a:rPr>
            <a:t> </a:t>
          </a:r>
          <a:r>
            <a:rPr lang="en-US" sz="3200" b="1">
              <a:solidFill>
                <a:sysClr val="windowText" lastClr="000000"/>
              </a:solidFill>
            </a:rPr>
            <a:t>OnTime</a:t>
          </a:r>
          <a:endParaRPr lang="en-US" sz="1800" b="1">
            <a:solidFill>
              <a:sysClr val="windowText" lastClr="000000"/>
            </a:solidFill>
          </a:endParaRPr>
        </a:p>
      </xdr:txBody>
    </xdr:sp>
    <xdr:clientData/>
  </xdr:twoCellAnchor>
  <xdr:twoCellAnchor>
    <xdr:from>
      <xdr:col>23</xdr:col>
      <xdr:colOff>533400</xdr:colOff>
      <xdr:row>16</xdr:row>
      <xdr:rowOff>38100</xdr:rowOff>
    </xdr:from>
    <xdr:to>
      <xdr:col>24</xdr:col>
      <xdr:colOff>381000</xdr:colOff>
      <xdr:row>18</xdr:row>
      <xdr:rowOff>114300</xdr:rowOff>
    </xdr:to>
    <xdr:sp macro="" textlink="">
      <xdr:nvSpPr>
        <xdr:cNvPr id="51" name="Oval 50">
          <a:extLst>
            <a:ext uri="{FF2B5EF4-FFF2-40B4-BE49-F238E27FC236}">
              <a16:creationId xmlns:a16="http://schemas.microsoft.com/office/drawing/2014/main" id="{00000000-0008-0000-0200-000033000000}"/>
            </a:ext>
          </a:extLst>
        </xdr:cNvPr>
        <xdr:cNvSpPr/>
      </xdr:nvSpPr>
      <xdr:spPr>
        <a:xfrm>
          <a:off x="14554200" y="3086100"/>
          <a:ext cx="457200" cy="4572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16</xdr:row>
      <xdr:rowOff>152400</xdr:rowOff>
    </xdr:from>
    <xdr:to>
      <xdr:col>16</xdr:col>
      <xdr:colOff>457200</xdr:colOff>
      <xdr:row>19</xdr:row>
      <xdr:rowOff>38100</xdr:rowOff>
    </xdr:to>
    <xdr:sp macro="" textlink="">
      <xdr:nvSpPr>
        <xdr:cNvPr id="52" name="Oval 51">
          <a:extLst>
            <a:ext uri="{FF2B5EF4-FFF2-40B4-BE49-F238E27FC236}">
              <a16:creationId xmlns:a16="http://schemas.microsoft.com/office/drawing/2014/main" id="{00000000-0008-0000-0200-000034000000}"/>
            </a:ext>
          </a:extLst>
        </xdr:cNvPr>
        <xdr:cNvSpPr/>
      </xdr:nvSpPr>
      <xdr:spPr>
        <a:xfrm>
          <a:off x="9753600" y="3200400"/>
          <a:ext cx="457200" cy="4572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342900</xdr:colOff>
      <xdr:row>16</xdr:row>
      <xdr:rowOff>76200</xdr:rowOff>
    </xdr:from>
    <xdr:to>
      <xdr:col>32</xdr:col>
      <xdr:colOff>190500</xdr:colOff>
      <xdr:row>18</xdr:row>
      <xdr:rowOff>152400</xdr:rowOff>
    </xdr:to>
    <xdr:sp macro="" textlink="">
      <xdr:nvSpPr>
        <xdr:cNvPr id="53" name="Oval 52">
          <a:extLst>
            <a:ext uri="{FF2B5EF4-FFF2-40B4-BE49-F238E27FC236}">
              <a16:creationId xmlns:a16="http://schemas.microsoft.com/office/drawing/2014/main" id="{00000000-0008-0000-0200-000035000000}"/>
            </a:ext>
          </a:extLst>
        </xdr:cNvPr>
        <xdr:cNvSpPr/>
      </xdr:nvSpPr>
      <xdr:spPr>
        <a:xfrm>
          <a:off x="19240500" y="3124200"/>
          <a:ext cx="457200" cy="4572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114300</xdr:colOff>
      <xdr:row>16</xdr:row>
      <xdr:rowOff>38100</xdr:rowOff>
    </xdr:from>
    <xdr:to>
      <xdr:col>39</xdr:col>
      <xdr:colOff>571500</xdr:colOff>
      <xdr:row>18</xdr:row>
      <xdr:rowOff>114300</xdr:rowOff>
    </xdr:to>
    <xdr:sp macro="" textlink="">
      <xdr:nvSpPr>
        <xdr:cNvPr id="54" name="Oval 53">
          <a:extLst>
            <a:ext uri="{FF2B5EF4-FFF2-40B4-BE49-F238E27FC236}">
              <a16:creationId xmlns:a16="http://schemas.microsoft.com/office/drawing/2014/main" id="{00000000-0008-0000-0200-000036000000}"/>
            </a:ext>
          </a:extLst>
        </xdr:cNvPr>
        <xdr:cNvSpPr/>
      </xdr:nvSpPr>
      <xdr:spPr>
        <a:xfrm>
          <a:off x="23888700" y="3086100"/>
          <a:ext cx="457200" cy="4572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533400</xdr:colOff>
      <xdr:row>0</xdr:row>
      <xdr:rowOff>0</xdr:rowOff>
    </xdr:from>
    <xdr:to>
      <xdr:col>21</xdr:col>
      <xdr:colOff>495300</xdr:colOff>
      <xdr:row>6</xdr:row>
      <xdr:rowOff>152400</xdr:rowOff>
    </xdr:to>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4800600" y="0"/>
          <a:ext cx="84963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0" b="1" baseline="0">
              <a:latin typeface="Arial" panose="020B0604020202020204" pitchFamily="34" charset="0"/>
              <a:cs typeface="Arial" panose="020B0604020202020204" pitchFamily="34" charset="0"/>
            </a:rPr>
            <a:t>SALES TRACKER</a:t>
          </a:r>
          <a:endParaRPr lang="en-US" sz="6000" b="1">
            <a:latin typeface="Arial" panose="020B0604020202020204" pitchFamily="34" charset="0"/>
            <a:cs typeface="Arial" panose="020B0604020202020204" pitchFamily="34" charset="0"/>
          </a:endParaRPr>
        </a:p>
      </xdr:txBody>
    </xdr:sp>
    <xdr:clientData/>
  </xdr:twoCellAnchor>
  <xdr:twoCellAnchor>
    <xdr:from>
      <xdr:col>7</xdr:col>
      <xdr:colOff>228600</xdr:colOff>
      <xdr:row>5</xdr:row>
      <xdr:rowOff>38100</xdr:rowOff>
    </xdr:from>
    <xdr:to>
      <xdr:col>47</xdr:col>
      <xdr:colOff>114300</xdr:colOff>
      <xdr:row>5</xdr:row>
      <xdr:rowOff>76200</xdr:rowOff>
    </xdr:to>
    <xdr:cxnSp macro="">
      <xdr:nvCxnSpPr>
        <xdr:cNvPr id="57" name="Straight Connector 56">
          <a:extLst>
            <a:ext uri="{FF2B5EF4-FFF2-40B4-BE49-F238E27FC236}">
              <a16:creationId xmlns:a16="http://schemas.microsoft.com/office/drawing/2014/main" id="{00000000-0008-0000-0200-000039000000}"/>
            </a:ext>
          </a:extLst>
        </xdr:cNvPr>
        <xdr:cNvCxnSpPr/>
      </xdr:nvCxnSpPr>
      <xdr:spPr>
        <a:xfrm flipV="1">
          <a:off x="4495800" y="990600"/>
          <a:ext cx="24269700" cy="38100"/>
        </a:xfrm>
        <a:prstGeom prst="line">
          <a:avLst/>
        </a:prstGeom>
        <a:ln>
          <a:solidFill>
            <a:schemeClr val="bg1">
              <a:lumMod val="85000"/>
            </a:schemeClr>
          </a:solidFill>
        </a:ln>
        <a:effectLst>
          <a:outerShdw dist="50800" sx="1000" sy="1000" algn="ctr" rotWithShape="0">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38100</xdr:colOff>
      <xdr:row>14</xdr:row>
      <xdr:rowOff>76200</xdr:rowOff>
    </xdr:from>
    <xdr:to>
      <xdr:col>20</xdr:col>
      <xdr:colOff>228600</xdr:colOff>
      <xdr:row>21</xdr:row>
      <xdr:rowOff>114300</xdr:rowOff>
    </xdr:to>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10401300" y="2743200"/>
          <a:ext cx="20193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solidFill>
                <a:sysClr val="windowText" lastClr="000000"/>
              </a:solidFill>
            </a:rPr>
            <a:t> </a:t>
          </a:r>
          <a:r>
            <a:rPr lang="en-US" sz="3200" b="1">
              <a:solidFill>
                <a:sysClr val="windowText" lastClr="000000"/>
              </a:solidFill>
              <a:latin typeface="KuLm Park"/>
            </a:rPr>
            <a:t>OnTime</a:t>
          </a:r>
          <a:endParaRPr lang="en-US" sz="4000" b="1">
            <a:solidFill>
              <a:sysClr val="windowText" lastClr="000000"/>
            </a:solidFill>
            <a:latin typeface="KuLm Park"/>
          </a:endParaRPr>
        </a:p>
      </xdr:txBody>
    </xdr:sp>
    <xdr:clientData/>
  </xdr:twoCellAnchor>
  <xdr:twoCellAnchor>
    <xdr:from>
      <xdr:col>7</xdr:col>
      <xdr:colOff>419100</xdr:colOff>
      <xdr:row>35</xdr:row>
      <xdr:rowOff>76200</xdr:rowOff>
    </xdr:from>
    <xdr:to>
      <xdr:col>19</xdr:col>
      <xdr:colOff>0</xdr:colOff>
      <xdr:row>52</xdr:row>
      <xdr:rowOff>76200</xdr:rowOff>
    </xdr:to>
    <xdr:sp macro="" textlink="">
      <xdr:nvSpPr>
        <xdr:cNvPr id="34" name="Rounded Rectangle 33">
          <a:extLst>
            <a:ext uri="{FF2B5EF4-FFF2-40B4-BE49-F238E27FC236}">
              <a16:creationId xmlns:a16="http://schemas.microsoft.com/office/drawing/2014/main" id="{00000000-0008-0000-0200-000022000000}"/>
            </a:ext>
          </a:extLst>
        </xdr:cNvPr>
        <xdr:cNvSpPr/>
      </xdr:nvSpPr>
      <xdr:spPr>
        <a:xfrm>
          <a:off x="4686300" y="6743700"/>
          <a:ext cx="6896100" cy="32385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35</xdr:row>
      <xdr:rowOff>114300</xdr:rowOff>
    </xdr:from>
    <xdr:to>
      <xdr:col>12</xdr:col>
      <xdr:colOff>571500</xdr:colOff>
      <xdr:row>42</xdr:row>
      <xdr:rowOff>152400</xdr:rowOff>
    </xdr:to>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5715000" y="6781800"/>
          <a:ext cx="21717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solidFill>
                <a:schemeClr val="bg1"/>
              </a:solidFill>
            </a:rPr>
            <a:t> </a:t>
          </a:r>
          <a:r>
            <a:rPr lang="en-US" sz="3600" b="1">
              <a:solidFill>
                <a:sysClr val="windowText" lastClr="000000"/>
              </a:solidFill>
            </a:rPr>
            <a:t>OnTime</a:t>
          </a:r>
          <a:endParaRPr lang="en-US" sz="1800" b="1">
            <a:solidFill>
              <a:sysClr val="windowText" lastClr="000000"/>
            </a:solidFill>
          </a:endParaRPr>
        </a:p>
      </xdr:txBody>
    </xdr:sp>
    <xdr:clientData/>
  </xdr:twoCellAnchor>
  <xdr:twoCellAnchor>
    <xdr:from>
      <xdr:col>8</xdr:col>
      <xdr:colOff>152400</xdr:colOff>
      <xdr:row>37</xdr:row>
      <xdr:rowOff>152400</xdr:rowOff>
    </xdr:from>
    <xdr:to>
      <xdr:col>9</xdr:col>
      <xdr:colOff>0</xdr:colOff>
      <xdr:row>40</xdr:row>
      <xdr:rowOff>38100</xdr:rowOff>
    </xdr:to>
    <xdr:sp macro="" textlink="">
      <xdr:nvSpPr>
        <xdr:cNvPr id="56" name="Oval 55">
          <a:extLst>
            <a:ext uri="{FF2B5EF4-FFF2-40B4-BE49-F238E27FC236}">
              <a16:creationId xmlns:a16="http://schemas.microsoft.com/office/drawing/2014/main" id="{00000000-0008-0000-0200-000038000000}"/>
            </a:ext>
          </a:extLst>
        </xdr:cNvPr>
        <xdr:cNvSpPr/>
      </xdr:nvSpPr>
      <xdr:spPr>
        <a:xfrm>
          <a:off x="5029200" y="7200900"/>
          <a:ext cx="457200" cy="4572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419100</xdr:colOff>
      <xdr:row>41</xdr:row>
      <xdr:rowOff>152400</xdr:rowOff>
    </xdr:from>
    <xdr:to>
      <xdr:col>11</xdr:col>
      <xdr:colOff>190500</xdr:colOff>
      <xdr:row>51</xdr:row>
      <xdr:rowOff>152400</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rot="10800000" flipH="1" flipV="1">
          <a:off x="5295900" y="7962900"/>
          <a:ext cx="1600200" cy="1905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latin typeface="Kulm Park"/>
            </a:rPr>
            <a:t>Total</a:t>
          </a:r>
          <a:r>
            <a:rPr lang="en-US" sz="4400" b="1" baseline="0">
              <a:latin typeface="Kulm Park"/>
            </a:rPr>
            <a:t> </a:t>
          </a:r>
          <a:r>
            <a:rPr lang="en-US" sz="4000" b="1" baseline="0">
              <a:latin typeface="Kulm Park"/>
            </a:rPr>
            <a:t>Sales</a:t>
          </a:r>
          <a:endParaRPr lang="en-US" sz="4400" b="1">
            <a:latin typeface="Kulm Park"/>
          </a:endParaRPr>
        </a:p>
      </xdr:txBody>
    </xdr:sp>
    <xdr:clientData/>
  </xdr:twoCellAnchor>
  <xdr:twoCellAnchor>
    <xdr:from>
      <xdr:col>11</xdr:col>
      <xdr:colOff>0</xdr:colOff>
      <xdr:row>41</xdr:row>
      <xdr:rowOff>76200</xdr:rowOff>
    </xdr:from>
    <xdr:to>
      <xdr:col>18</xdr:col>
      <xdr:colOff>381000</xdr:colOff>
      <xdr:row>49</xdr:row>
      <xdr:rowOff>76200</xdr:rowOff>
    </xdr:to>
    <xdr:sp macro="" textlink="'pivot table'!F15">
      <xdr:nvSpPr>
        <xdr:cNvPr id="58" name="TextBox 57">
          <a:extLst>
            <a:ext uri="{FF2B5EF4-FFF2-40B4-BE49-F238E27FC236}">
              <a16:creationId xmlns:a16="http://schemas.microsoft.com/office/drawing/2014/main" id="{00000000-0008-0000-0200-00003A000000}"/>
            </a:ext>
          </a:extLst>
        </xdr:cNvPr>
        <xdr:cNvSpPr txBox="1"/>
      </xdr:nvSpPr>
      <xdr:spPr>
        <a:xfrm>
          <a:off x="6705600" y="7886700"/>
          <a:ext cx="4648200" cy="15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EAC7FC0-7D46-414D-AFE2-7EDC8DFC8FDF}" type="TxLink">
            <a:rPr lang="en-US" sz="7200" b="1">
              <a:latin typeface="Kulm Park"/>
            </a:rPr>
            <a:pPr/>
            <a:t> $208,771 </a:t>
          </a:fld>
          <a:endParaRPr lang="en-US" sz="7200" b="1">
            <a:latin typeface="Kulm Park"/>
          </a:endParaRPr>
        </a:p>
      </xdr:txBody>
    </xdr:sp>
    <xdr:clientData/>
  </xdr:twoCellAnchor>
  <xdr:twoCellAnchor>
    <xdr:from>
      <xdr:col>7</xdr:col>
      <xdr:colOff>342900</xdr:colOff>
      <xdr:row>54</xdr:row>
      <xdr:rowOff>266700</xdr:rowOff>
    </xdr:from>
    <xdr:to>
      <xdr:col>19</xdr:col>
      <xdr:colOff>0</xdr:colOff>
      <xdr:row>102</xdr:row>
      <xdr:rowOff>76200</xdr:rowOff>
    </xdr:to>
    <xdr:sp macro="" textlink="">
      <xdr:nvSpPr>
        <xdr:cNvPr id="59" name="Rounded Rectangle 58">
          <a:extLst>
            <a:ext uri="{FF2B5EF4-FFF2-40B4-BE49-F238E27FC236}">
              <a16:creationId xmlns:a16="http://schemas.microsoft.com/office/drawing/2014/main" id="{00000000-0008-0000-0200-00003B000000}"/>
            </a:ext>
          </a:extLst>
        </xdr:cNvPr>
        <xdr:cNvSpPr/>
      </xdr:nvSpPr>
      <xdr:spPr>
        <a:xfrm>
          <a:off x="4610100" y="10553700"/>
          <a:ext cx="6972300" cy="91059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381000</xdr:colOff>
      <xdr:row>56</xdr:row>
      <xdr:rowOff>38100</xdr:rowOff>
    </xdr:from>
    <xdr:to>
      <xdr:col>15</xdr:col>
      <xdr:colOff>342900</xdr:colOff>
      <xdr:row>64</xdr:row>
      <xdr:rowOff>76200</xdr:rowOff>
    </xdr:to>
    <xdr:sp macro="" textlink="">
      <xdr:nvSpPr>
        <xdr:cNvPr id="61" name="TextBox 60">
          <a:extLst>
            <a:ext uri="{FF2B5EF4-FFF2-40B4-BE49-F238E27FC236}">
              <a16:creationId xmlns:a16="http://schemas.microsoft.com/office/drawing/2014/main" id="{00000000-0008-0000-0200-00003D000000}"/>
            </a:ext>
          </a:extLst>
        </xdr:cNvPr>
        <xdr:cNvSpPr txBox="1"/>
      </xdr:nvSpPr>
      <xdr:spPr>
        <a:xfrm rot="10800000" flipH="1" flipV="1">
          <a:off x="5257800" y="10858500"/>
          <a:ext cx="4229100" cy="156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latin typeface="Kulm Park"/>
            </a:rPr>
            <a:t>Total</a:t>
          </a:r>
          <a:r>
            <a:rPr lang="en-US" sz="4000" b="1" baseline="0">
              <a:latin typeface="Kulm Park"/>
            </a:rPr>
            <a:t> Sales By Categories</a:t>
          </a:r>
          <a:endParaRPr lang="en-US" sz="4000" b="1">
            <a:latin typeface="Kulm Park"/>
          </a:endParaRPr>
        </a:p>
      </xdr:txBody>
    </xdr:sp>
    <xdr:clientData/>
  </xdr:twoCellAnchor>
  <xdr:twoCellAnchor>
    <xdr:from>
      <xdr:col>14</xdr:col>
      <xdr:colOff>0</xdr:colOff>
      <xdr:row>64</xdr:row>
      <xdr:rowOff>99060</xdr:rowOff>
    </xdr:from>
    <xdr:to>
      <xdr:col>18</xdr:col>
      <xdr:colOff>152400</xdr:colOff>
      <xdr:row>71</xdr:row>
      <xdr:rowOff>60960</xdr:rowOff>
    </xdr:to>
    <xdr:sp macro="" textlink="'pivot table'!F10">
      <xdr:nvSpPr>
        <xdr:cNvPr id="64" name="TextBox 63">
          <a:extLst>
            <a:ext uri="{FF2B5EF4-FFF2-40B4-BE49-F238E27FC236}">
              <a16:creationId xmlns:a16="http://schemas.microsoft.com/office/drawing/2014/main" id="{00000000-0008-0000-0200-000040000000}"/>
            </a:ext>
          </a:extLst>
        </xdr:cNvPr>
        <xdr:cNvSpPr txBox="1"/>
      </xdr:nvSpPr>
      <xdr:spPr>
        <a:xfrm>
          <a:off x="8534400" y="1244346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AAFDE70-8638-4271-BFE4-890EAE04ABD9}" type="TxLink">
            <a:rPr lang="en-US" sz="4000" b="1">
              <a:solidFill>
                <a:sysClr val="windowText" lastClr="000000"/>
              </a:solidFill>
            </a:rPr>
            <a:pPr/>
            <a:t> $27,014 </a:t>
          </a:fld>
          <a:endParaRPr lang="en-US" sz="4000" b="1">
            <a:solidFill>
              <a:sysClr val="windowText" lastClr="000000"/>
            </a:solidFill>
          </a:endParaRPr>
        </a:p>
      </xdr:txBody>
    </xdr:sp>
    <xdr:clientData/>
  </xdr:twoCellAnchor>
  <xdr:twoCellAnchor>
    <xdr:from>
      <xdr:col>14</xdr:col>
      <xdr:colOff>0</xdr:colOff>
      <xdr:row>71</xdr:row>
      <xdr:rowOff>83820</xdr:rowOff>
    </xdr:from>
    <xdr:to>
      <xdr:col>18</xdr:col>
      <xdr:colOff>152400</xdr:colOff>
      <xdr:row>78</xdr:row>
      <xdr:rowOff>45720</xdr:rowOff>
    </xdr:to>
    <xdr:sp macro="" textlink="'pivot table'!F11">
      <xdr:nvSpPr>
        <xdr:cNvPr id="65" name="TextBox 64">
          <a:extLst>
            <a:ext uri="{FF2B5EF4-FFF2-40B4-BE49-F238E27FC236}">
              <a16:creationId xmlns:a16="http://schemas.microsoft.com/office/drawing/2014/main" id="{00000000-0008-0000-0200-000041000000}"/>
            </a:ext>
          </a:extLst>
        </xdr:cNvPr>
        <xdr:cNvSpPr txBox="1"/>
      </xdr:nvSpPr>
      <xdr:spPr>
        <a:xfrm>
          <a:off x="8534400" y="1376172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662A274-3DAE-4B43-BADA-3B4B5AF9E1E6}" type="TxLink">
            <a:rPr lang="en-US" sz="4000" b="1">
              <a:solidFill>
                <a:sysClr val="windowText" lastClr="000000"/>
              </a:solidFill>
            </a:rPr>
            <a:pPr/>
            <a:t> $29,182 </a:t>
          </a:fld>
          <a:endParaRPr lang="en-US" sz="4000" b="1">
            <a:solidFill>
              <a:sysClr val="windowText" lastClr="000000"/>
            </a:solidFill>
          </a:endParaRPr>
        </a:p>
      </xdr:txBody>
    </xdr:sp>
    <xdr:clientData/>
  </xdr:twoCellAnchor>
  <xdr:twoCellAnchor>
    <xdr:from>
      <xdr:col>14</xdr:col>
      <xdr:colOff>0</xdr:colOff>
      <xdr:row>78</xdr:row>
      <xdr:rowOff>68580</xdr:rowOff>
    </xdr:from>
    <xdr:to>
      <xdr:col>18</xdr:col>
      <xdr:colOff>152400</xdr:colOff>
      <xdr:row>85</xdr:row>
      <xdr:rowOff>30480</xdr:rowOff>
    </xdr:to>
    <xdr:sp macro="" textlink="'pivot table'!F12">
      <xdr:nvSpPr>
        <xdr:cNvPr id="66" name="TextBox 65">
          <a:extLst>
            <a:ext uri="{FF2B5EF4-FFF2-40B4-BE49-F238E27FC236}">
              <a16:creationId xmlns:a16="http://schemas.microsoft.com/office/drawing/2014/main" id="{00000000-0008-0000-0200-000042000000}"/>
            </a:ext>
          </a:extLst>
        </xdr:cNvPr>
        <xdr:cNvSpPr txBox="1"/>
      </xdr:nvSpPr>
      <xdr:spPr>
        <a:xfrm>
          <a:off x="8534400" y="1507998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10E9B79-8A5F-47C2-BFA5-72FA6ADB2567}" type="TxLink">
            <a:rPr lang="en-US" sz="4000" b="1">
              <a:solidFill>
                <a:sysClr val="windowText" lastClr="000000"/>
              </a:solidFill>
            </a:rPr>
            <a:pPr/>
            <a:t> $39,310 </a:t>
          </a:fld>
          <a:endParaRPr lang="en-US" sz="4000" b="1">
            <a:solidFill>
              <a:sysClr val="windowText" lastClr="000000"/>
            </a:solidFill>
          </a:endParaRPr>
        </a:p>
      </xdr:txBody>
    </xdr:sp>
    <xdr:clientData/>
  </xdr:twoCellAnchor>
  <xdr:twoCellAnchor>
    <xdr:from>
      <xdr:col>14</xdr:col>
      <xdr:colOff>76200</xdr:colOff>
      <xdr:row>85</xdr:row>
      <xdr:rowOff>53340</xdr:rowOff>
    </xdr:from>
    <xdr:to>
      <xdr:col>18</xdr:col>
      <xdr:colOff>152400</xdr:colOff>
      <xdr:row>92</xdr:row>
      <xdr:rowOff>15240</xdr:rowOff>
    </xdr:to>
    <xdr:sp macro="" textlink="'pivot table'!F13">
      <xdr:nvSpPr>
        <xdr:cNvPr id="67" name="TextBox 66">
          <a:extLst>
            <a:ext uri="{FF2B5EF4-FFF2-40B4-BE49-F238E27FC236}">
              <a16:creationId xmlns:a16="http://schemas.microsoft.com/office/drawing/2014/main" id="{00000000-0008-0000-0200-000043000000}"/>
            </a:ext>
          </a:extLst>
        </xdr:cNvPr>
        <xdr:cNvSpPr txBox="1"/>
      </xdr:nvSpPr>
      <xdr:spPr>
        <a:xfrm>
          <a:off x="8610600" y="16398240"/>
          <a:ext cx="2514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93A27FA-43F0-4406-AD1C-24EAB0A701EB}" type="TxLink">
            <a:rPr lang="en-US" sz="4000" b="1">
              <a:solidFill>
                <a:sysClr val="windowText" lastClr="000000"/>
              </a:solidFill>
            </a:rPr>
            <a:pPr/>
            <a:t> $51,360 </a:t>
          </a:fld>
          <a:endParaRPr lang="en-US" sz="4000" b="1">
            <a:solidFill>
              <a:sysClr val="windowText" lastClr="000000"/>
            </a:solidFill>
          </a:endParaRPr>
        </a:p>
      </xdr:txBody>
    </xdr:sp>
    <xdr:clientData/>
  </xdr:twoCellAnchor>
  <xdr:twoCellAnchor>
    <xdr:from>
      <xdr:col>14</xdr:col>
      <xdr:colOff>0</xdr:colOff>
      <xdr:row>92</xdr:row>
      <xdr:rowOff>38100</xdr:rowOff>
    </xdr:from>
    <xdr:to>
      <xdr:col>18</xdr:col>
      <xdr:colOff>152400</xdr:colOff>
      <xdr:row>99</xdr:row>
      <xdr:rowOff>0</xdr:rowOff>
    </xdr:to>
    <xdr:sp macro="" textlink="'pivot table'!F14">
      <xdr:nvSpPr>
        <xdr:cNvPr id="68" name="TextBox 67">
          <a:extLst>
            <a:ext uri="{FF2B5EF4-FFF2-40B4-BE49-F238E27FC236}">
              <a16:creationId xmlns:a16="http://schemas.microsoft.com/office/drawing/2014/main" id="{00000000-0008-0000-0200-000044000000}"/>
            </a:ext>
          </a:extLst>
        </xdr:cNvPr>
        <xdr:cNvSpPr txBox="1"/>
      </xdr:nvSpPr>
      <xdr:spPr>
        <a:xfrm>
          <a:off x="8534400" y="1771650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400CDBA-8CF0-4696-AD0F-C27C6AA5066C}" type="TxLink">
            <a:rPr lang="en-US" sz="4000" b="1">
              <a:solidFill>
                <a:sysClr val="windowText" lastClr="000000"/>
              </a:solidFill>
            </a:rPr>
            <a:pPr/>
            <a:t> $61,905 </a:t>
          </a:fld>
          <a:endParaRPr lang="en-US" sz="4000" b="1">
            <a:solidFill>
              <a:sysClr val="windowText" lastClr="000000"/>
            </a:solidFill>
          </a:endParaRPr>
        </a:p>
      </xdr:txBody>
    </xdr:sp>
    <xdr:clientData/>
  </xdr:twoCellAnchor>
  <xdr:twoCellAnchor>
    <xdr:from>
      <xdr:col>8</xdr:col>
      <xdr:colOff>495300</xdr:colOff>
      <xdr:row>64</xdr:row>
      <xdr:rowOff>99060</xdr:rowOff>
    </xdr:from>
    <xdr:to>
      <xdr:col>13</xdr:col>
      <xdr:colOff>38100</xdr:colOff>
      <xdr:row>71</xdr:row>
      <xdr:rowOff>60960</xdr:rowOff>
    </xdr:to>
    <xdr:sp macro="" textlink="'pivot table'!E10">
      <xdr:nvSpPr>
        <xdr:cNvPr id="75" name="TextBox 74">
          <a:extLst>
            <a:ext uri="{FF2B5EF4-FFF2-40B4-BE49-F238E27FC236}">
              <a16:creationId xmlns:a16="http://schemas.microsoft.com/office/drawing/2014/main" id="{00000000-0008-0000-0200-00004B000000}"/>
            </a:ext>
          </a:extLst>
        </xdr:cNvPr>
        <xdr:cNvSpPr txBox="1"/>
      </xdr:nvSpPr>
      <xdr:spPr>
        <a:xfrm>
          <a:off x="5372100" y="1244346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4E41D81-8271-448D-8CCF-74195C3A1806}" type="TxLink">
            <a:rPr lang="en-US" sz="4000" b="1">
              <a:solidFill>
                <a:sysClr val="windowText" lastClr="000000"/>
              </a:solidFill>
              <a:latin typeface="Kulm Park"/>
            </a:rPr>
            <a:pPr/>
            <a:t>Clothing</a:t>
          </a:fld>
          <a:endParaRPr lang="en-US" sz="4000" b="1">
            <a:solidFill>
              <a:sysClr val="windowText" lastClr="000000"/>
            </a:solidFill>
            <a:latin typeface="Kulm Park"/>
          </a:endParaRPr>
        </a:p>
      </xdr:txBody>
    </xdr:sp>
    <xdr:clientData/>
  </xdr:twoCellAnchor>
  <xdr:twoCellAnchor>
    <xdr:from>
      <xdr:col>8</xdr:col>
      <xdr:colOff>495300</xdr:colOff>
      <xdr:row>71</xdr:row>
      <xdr:rowOff>83820</xdr:rowOff>
    </xdr:from>
    <xdr:to>
      <xdr:col>13</xdr:col>
      <xdr:colOff>38100</xdr:colOff>
      <xdr:row>78</xdr:row>
      <xdr:rowOff>45720</xdr:rowOff>
    </xdr:to>
    <xdr:sp macro="" textlink="'pivot table'!E11">
      <xdr:nvSpPr>
        <xdr:cNvPr id="76" name="TextBox 75">
          <a:extLst>
            <a:ext uri="{FF2B5EF4-FFF2-40B4-BE49-F238E27FC236}">
              <a16:creationId xmlns:a16="http://schemas.microsoft.com/office/drawing/2014/main" id="{00000000-0008-0000-0200-00004C000000}"/>
            </a:ext>
          </a:extLst>
        </xdr:cNvPr>
        <xdr:cNvSpPr txBox="1"/>
      </xdr:nvSpPr>
      <xdr:spPr>
        <a:xfrm>
          <a:off x="5372100" y="1376172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DD081E6-BDB8-4485-B533-AB85EDDA5D24}" type="TxLink">
            <a:rPr lang="en-US" sz="4000" b="1">
              <a:solidFill>
                <a:sysClr val="windowText" lastClr="000000"/>
              </a:solidFill>
              <a:latin typeface="Kulm Park"/>
            </a:rPr>
            <a:pPr/>
            <a:t>Beauty</a:t>
          </a:fld>
          <a:endParaRPr lang="en-US" sz="4000" b="1">
            <a:solidFill>
              <a:sysClr val="windowText" lastClr="000000"/>
            </a:solidFill>
            <a:latin typeface="Kulm Park"/>
          </a:endParaRPr>
        </a:p>
      </xdr:txBody>
    </xdr:sp>
    <xdr:clientData/>
  </xdr:twoCellAnchor>
  <xdr:twoCellAnchor>
    <xdr:from>
      <xdr:col>8</xdr:col>
      <xdr:colOff>495300</xdr:colOff>
      <xdr:row>78</xdr:row>
      <xdr:rowOff>68580</xdr:rowOff>
    </xdr:from>
    <xdr:to>
      <xdr:col>13</xdr:col>
      <xdr:colOff>533400</xdr:colOff>
      <xdr:row>85</xdr:row>
      <xdr:rowOff>30480</xdr:rowOff>
    </xdr:to>
    <xdr:sp macro="" textlink="'pivot table'!E12">
      <xdr:nvSpPr>
        <xdr:cNvPr id="77" name="TextBox 76">
          <a:extLst>
            <a:ext uri="{FF2B5EF4-FFF2-40B4-BE49-F238E27FC236}">
              <a16:creationId xmlns:a16="http://schemas.microsoft.com/office/drawing/2014/main" id="{00000000-0008-0000-0200-00004D000000}"/>
            </a:ext>
          </a:extLst>
        </xdr:cNvPr>
        <xdr:cNvSpPr txBox="1"/>
      </xdr:nvSpPr>
      <xdr:spPr>
        <a:xfrm>
          <a:off x="5372100" y="15079980"/>
          <a:ext cx="30861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10C7001-3C90-46D8-A9E5-3CFD51DE6042}" type="TxLink">
            <a:rPr lang="en-US" sz="4000" b="1">
              <a:solidFill>
                <a:sysClr val="windowText" lastClr="000000"/>
              </a:solidFill>
              <a:latin typeface="Kulm Park"/>
            </a:rPr>
            <a:pPr/>
            <a:t>Electronics</a:t>
          </a:fld>
          <a:endParaRPr lang="en-US" sz="4000" b="1">
            <a:solidFill>
              <a:sysClr val="windowText" lastClr="000000"/>
            </a:solidFill>
            <a:latin typeface="Kulm Park"/>
          </a:endParaRPr>
        </a:p>
      </xdr:txBody>
    </xdr:sp>
    <xdr:clientData/>
  </xdr:twoCellAnchor>
  <xdr:twoCellAnchor>
    <xdr:from>
      <xdr:col>8</xdr:col>
      <xdr:colOff>495300</xdr:colOff>
      <xdr:row>85</xdr:row>
      <xdr:rowOff>53340</xdr:rowOff>
    </xdr:from>
    <xdr:to>
      <xdr:col>13</xdr:col>
      <xdr:colOff>152400</xdr:colOff>
      <xdr:row>92</xdr:row>
      <xdr:rowOff>15240</xdr:rowOff>
    </xdr:to>
    <xdr:sp macro="" textlink="'pivot table'!E13">
      <xdr:nvSpPr>
        <xdr:cNvPr id="78" name="TextBox 77">
          <a:extLst>
            <a:ext uri="{FF2B5EF4-FFF2-40B4-BE49-F238E27FC236}">
              <a16:creationId xmlns:a16="http://schemas.microsoft.com/office/drawing/2014/main" id="{00000000-0008-0000-0200-00004E000000}"/>
            </a:ext>
          </a:extLst>
        </xdr:cNvPr>
        <xdr:cNvSpPr txBox="1"/>
      </xdr:nvSpPr>
      <xdr:spPr>
        <a:xfrm>
          <a:off x="5372100" y="16398240"/>
          <a:ext cx="27051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F21B5F-695B-4551-80DF-10B14FABF35A}" type="TxLink">
            <a:rPr lang="en-US" sz="4000" b="1">
              <a:solidFill>
                <a:sysClr val="windowText" lastClr="000000"/>
              </a:solidFill>
              <a:latin typeface="Kulm Park"/>
            </a:rPr>
            <a:pPr/>
            <a:t>Home Goods</a:t>
          </a:fld>
          <a:endParaRPr lang="en-US" sz="4000" b="1">
            <a:solidFill>
              <a:sysClr val="windowText" lastClr="000000"/>
            </a:solidFill>
            <a:latin typeface="Kulm Park"/>
          </a:endParaRPr>
        </a:p>
      </xdr:txBody>
    </xdr:sp>
    <xdr:clientData/>
  </xdr:twoCellAnchor>
  <xdr:twoCellAnchor>
    <xdr:from>
      <xdr:col>8</xdr:col>
      <xdr:colOff>495300</xdr:colOff>
      <xdr:row>92</xdr:row>
      <xdr:rowOff>38100</xdr:rowOff>
    </xdr:from>
    <xdr:to>
      <xdr:col>13</xdr:col>
      <xdr:colOff>38100</xdr:colOff>
      <xdr:row>99</xdr:row>
      <xdr:rowOff>0</xdr:rowOff>
    </xdr:to>
    <xdr:sp macro="" textlink="'pivot table'!E14">
      <xdr:nvSpPr>
        <xdr:cNvPr id="79" name="TextBox 78">
          <a:extLst>
            <a:ext uri="{FF2B5EF4-FFF2-40B4-BE49-F238E27FC236}">
              <a16:creationId xmlns:a16="http://schemas.microsoft.com/office/drawing/2014/main" id="{00000000-0008-0000-0200-00004F000000}"/>
            </a:ext>
          </a:extLst>
        </xdr:cNvPr>
        <xdr:cNvSpPr txBox="1"/>
      </xdr:nvSpPr>
      <xdr:spPr>
        <a:xfrm>
          <a:off x="5372100" y="17716500"/>
          <a:ext cx="25908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86BD37B-AABB-4774-A670-BAD9DA068710}" type="TxLink">
            <a:rPr lang="en-US" sz="4000" b="1">
              <a:solidFill>
                <a:sysClr val="windowText" lastClr="000000"/>
              </a:solidFill>
              <a:latin typeface="Kulm Park"/>
            </a:rPr>
            <a:pPr/>
            <a:t>Sports</a:t>
          </a:fld>
          <a:endParaRPr lang="en-US" sz="4000" b="1">
            <a:solidFill>
              <a:sysClr val="windowText" lastClr="000000"/>
            </a:solidFill>
            <a:latin typeface="Kulm Park"/>
          </a:endParaRPr>
        </a:p>
      </xdr:txBody>
    </xdr:sp>
    <xdr:clientData/>
  </xdr:twoCellAnchor>
  <xdr:twoCellAnchor>
    <xdr:from>
      <xdr:col>7</xdr:col>
      <xdr:colOff>571500</xdr:colOff>
      <xdr:row>66</xdr:row>
      <xdr:rowOff>76200</xdr:rowOff>
    </xdr:from>
    <xdr:to>
      <xdr:col>8</xdr:col>
      <xdr:colOff>342900</xdr:colOff>
      <xdr:row>68</xdr:row>
      <xdr:rowOff>114300</xdr:rowOff>
    </xdr:to>
    <xdr:sp macro="" textlink="">
      <xdr:nvSpPr>
        <xdr:cNvPr id="9" name="Oval 8">
          <a:extLst>
            <a:ext uri="{FF2B5EF4-FFF2-40B4-BE49-F238E27FC236}">
              <a16:creationId xmlns:a16="http://schemas.microsoft.com/office/drawing/2014/main" id="{00000000-0008-0000-0200-000009000000}"/>
            </a:ext>
          </a:extLst>
        </xdr:cNvPr>
        <xdr:cNvSpPr/>
      </xdr:nvSpPr>
      <xdr:spPr>
        <a:xfrm>
          <a:off x="4838700" y="12801600"/>
          <a:ext cx="381000" cy="419100"/>
        </a:xfrm>
        <a:prstGeom prst="ellipse">
          <a:avLst/>
        </a:prstGeom>
        <a:solidFill>
          <a:srgbClr val="92D05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3">
                <a:lumMod val="60000"/>
                <a:lumOff val="40000"/>
              </a:schemeClr>
            </a:solidFill>
          </a:endParaRPr>
        </a:p>
      </xdr:txBody>
    </xdr:sp>
    <xdr:clientData/>
  </xdr:twoCellAnchor>
  <xdr:twoCellAnchor>
    <xdr:from>
      <xdr:col>8</xdr:col>
      <xdr:colOff>0</xdr:colOff>
      <xdr:row>80</xdr:row>
      <xdr:rowOff>95250</xdr:rowOff>
    </xdr:from>
    <xdr:to>
      <xdr:col>8</xdr:col>
      <xdr:colOff>419100</xdr:colOff>
      <xdr:row>82</xdr:row>
      <xdr:rowOff>133350</xdr:rowOff>
    </xdr:to>
    <xdr:sp macro="" textlink="">
      <xdr:nvSpPr>
        <xdr:cNvPr id="85" name="Oval 84">
          <a:extLst>
            <a:ext uri="{FF2B5EF4-FFF2-40B4-BE49-F238E27FC236}">
              <a16:creationId xmlns:a16="http://schemas.microsoft.com/office/drawing/2014/main" id="{00000000-0008-0000-0200-000055000000}"/>
            </a:ext>
          </a:extLst>
        </xdr:cNvPr>
        <xdr:cNvSpPr/>
      </xdr:nvSpPr>
      <xdr:spPr>
        <a:xfrm>
          <a:off x="4876800" y="15487650"/>
          <a:ext cx="419100" cy="419100"/>
        </a:xfrm>
        <a:prstGeom prst="ellipse">
          <a:avLst/>
        </a:prstGeom>
        <a:solidFill>
          <a:srgbClr val="92D05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87</xdr:row>
      <xdr:rowOff>104775</xdr:rowOff>
    </xdr:from>
    <xdr:to>
      <xdr:col>8</xdr:col>
      <xdr:colOff>419100</xdr:colOff>
      <xdr:row>89</xdr:row>
      <xdr:rowOff>104775</xdr:rowOff>
    </xdr:to>
    <xdr:sp macro="" textlink="">
      <xdr:nvSpPr>
        <xdr:cNvPr id="86" name="Oval 85">
          <a:extLst>
            <a:ext uri="{FF2B5EF4-FFF2-40B4-BE49-F238E27FC236}">
              <a16:creationId xmlns:a16="http://schemas.microsoft.com/office/drawing/2014/main" id="{00000000-0008-0000-0200-000056000000}"/>
            </a:ext>
          </a:extLst>
        </xdr:cNvPr>
        <xdr:cNvSpPr/>
      </xdr:nvSpPr>
      <xdr:spPr>
        <a:xfrm>
          <a:off x="4876800" y="16830675"/>
          <a:ext cx="419100" cy="381000"/>
        </a:xfrm>
        <a:prstGeom prst="ellipse">
          <a:avLst/>
        </a:prstGeom>
        <a:solidFill>
          <a:srgbClr val="92D05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76200</xdr:colOff>
      <xdr:row>94</xdr:row>
      <xdr:rowOff>76200</xdr:rowOff>
    </xdr:from>
    <xdr:to>
      <xdr:col>8</xdr:col>
      <xdr:colOff>457200</xdr:colOff>
      <xdr:row>96</xdr:row>
      <xdr:rowOff>152400</xdr:rowOff>
    </xdr:to>
    <xdr:sp macro="" textlink="">
      <xdr:nvSpPr>
        <xdr:cNvPr id="87" name="Oval 86">
          <a:extLst>
            <a:ext uri="{FF2B5EF4-FFF2-40B4-BE49-F238E27FC236}">
              <a16:creationId xmlns:a16="http://schemas.microsoft.com/office/drawing/2014/main" id="{00000000-0008-0000-0200-000057000000}"/>
            </a:ext>
          </a:extLst>
        </xdr:cNvPr>
        <xdr:cNvSpPr/>
      </xdr:nvSpPr>
      <xdr:spPr>
        <a:xfrm>
          <a:off x="4953000" y="18135600"/>
          <a:ext cx="381000" cy="457200"/>
        </a:xfrm>
        <a:prstGeom prst="ellipse">
          <a:avLst/>
        </a:prstGeom>
        <a:solidFill>
          <a:srgbClr val="92D05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571500</xdr:colOff>
      <xdr:row>74</xdr:row>
      <xdr:rowOff>76200</xdr:rowOff>
    </xdr:from>
    <xdr:to>
      <xdr:col>8</xdr:col>
      <xdr:colOff>342900</xdr:colOff>
      <xdr:row>76</xdr:row>
      <xdr:rowOff>114300</xdr:rowOff>
    </xdr:to>
    <xdr:sp macro="" textlink="">
      <xdr:nvSpPr>
        <xdr:cNvPr id="88" name="Oval 87">
          <a:extLst>
            <a:ext uri="{FF2B5EF4-FFF2-40B4-BE49-F238E27FC236}">
              <a16:creationId xmlns:a16="http://schemas.microsoft.com/office/drawing/2014/main" id="{00000000-0008-0000-0200-000058000000}"/>
            </a:ext>
          </a:extLst>
        </xdr:cNvPr>
        <xdr:cNvSpPr/>
      </xdr:nvSpPr>
      <xdr:spPr>
        <a:xfrm>
          <a:off x="4838700" y="14325600"/>
          <a:ext cx="381000" cy="419100"/>
        </a:xfrm>
        <a:prstGeom prst="ellipse">
          <a:avLst/>
        </a:prstGeom>
        <a:solidFill>
          <a:srgbClr val="92D05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342900</xdr:colOff>
      <xdr:row>35</xdr:row>
      <xdr:rowOff>0</xdr:rowOff>
    </xdr:from>
    <xdr:to>
      <xdr:col>33</xdr:col>
      <xdr:colOff>228600</xdr:colOff>
      <xdr:row>67</xdr:row>
      <xdr:rowOff>114300</xdr:rowOff>
    </xdr:to>
    <xdr:sp macro="" textlink="">
      <xdr:nvSpPr>
        <xdr:cNvPr id="96" name="Rounded Rectangle 95">
          <a:extLst>
            <a:ext uri="{FF2B5EF4-FFF2-40B4-BE49-F238E27FC236}">
              <a16:creationId xmlns:a16="http://schemas.microsoft.com/office/drawing/2014/main" id="{00000000-0008-0000-0200-000060000000}"/>
            </a:ext>
          </a:extLst>
        </xdr:cNvPr>
        <xdr:cNvSpPr/>
      </xdr:nvSpPr>
      <xdr:spPr>
        <a:xfrm>
          <a:off x="11925300" y="6667500"/>
          <a:ext cx="8420100" cy="63627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190500</xdr:colOff>
      <xdr:row>36</xdr:row>
      <xdr:rowOff>38100</xdr:rowOff>
    </xdr:from>
    <xdr:to>
      <xdr:col>27</xdr:col>
      <xdr:colOff>152400</xdr:colOff>
      <xdr:row>40</xdr:row>
      <xdr:rowOff>76200</xdr:rowOff>
    </xdr:to>
    <xdr:sp macro="" textlink="">
      <xdr:nvSpPr>
        <xdr:cNvPr id="103" name="TextBox 102">
          <a:extLst>
            <a:ext uri="{FF2B5EF4-FFF2-40B4-BE49-F238E27FC236}">
              <a16:creationId xmlns:a16="http://schemas.microsoft.com/office/drawing/2014/main" id="{00000000-0008-0000-0200-000067000000}"/>
            </a:ext>
          </a:extLst>
        </xdr:cNvPr>
        <xdr:cNvSpPr txBox="1"/>
      </xdr:nvSpPr>
      <xdr:spPr>
        <a:xfrm rot="10800000" flipH="1" flipV="1">
          <a:off x="12382500" y="6896100"/>
          <a:ext cx="4229100" cy="800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latin typeface="Kulm Park"/>
            </a:rPr>
            <a:t>Sales By </a:t>
          </a:r>
          <a:r>
            <a:rPr lang="en-US" sz="3600" b="1" baseline="0">
              <a:latin typeface="Kulm Park"/>
            </a:rPr>
            <a:t>Region</a:t>
          </a:r>
          <a:endParaRPr lang="en-US" sz="3200" b="1">
            <a:latin typeface="Kulm Park"/>
          </a:endParaRPr>
        </a:p>
      </xdr:txBody>
    </xdr:sp>
    <xdr:clientData/>
  </xdr:twoCellAnchor>
  <xdr:twoCellAnchor>
    <xdr:from>
      <xdr:col>33</xdr:col>
      <xdr:colOff>457200</xdr:colOff>
      <xdr:row>35</xdr:row>
      <xdr:rowOff>76200</xdr:rowOff>
    </xdr:from>
    <xdr:to>
      <xdr:col>46</xdr:col>
      <xdr:colOff>457200</xdr:colOff>
      <xdr:row>67</xdr:row>
      <xdr:rowOff>38100</xdr:rowOff>
    </xdr:to>
    <xdr:sp macro="" textlink="">
      <xdr:nvSpPr>
        <xdr:cNvPr id="104" name="Rounded Rectangle 103">
          <a:extLst>
            <a:ext uri="{FF2B5EF4-FFF2-40B4-BE49-F238E27FC236}">
              <a16:creationId xmlns:a16="http://schemas.microsoft.com/office/drawing/2014/main" id="{00000000-0008-0000-0200-000068000000}"/>
            </a:ext>
          </a:extLst>
        </xdr:cNvPr>
        <xdr:cNvSpPr/>
      </xdr:nvSpPr>
      <xdr:spPr>
        <a:xfrm>
          <a:off x="20574000" y="6743700"/>
          <a:ext cx="7924800" cy="62103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76200</xdr:colOff>
      <xdr:row>36</xdr:row>
      <xdr:rowOff>38100</xdr:rowOff>
    </xdr:from>
    <xdr:to>
      <xdr:col>42</xdr:col>
      <xdr:colOff>38100</xdr:colOff>
      <xdr:row>42</xdr:row>
      <xdr:rowOff>114300</xdr:rowOff>
    </xdr:to>
    <xdr:sp macro="" textlink="">
      <xdr:nvSpPr>
        <xdr:cNvPr id="108" name="TextBox 107">
          <a:extLst>
            <a:ext uri="{FF2B5EF4-FFF2-40B4-BE49-F238E27FC236}">
              <a16:creationId xmlns:a16="http://schemas.microsoft.com/office/drawing/2014/main" id="{00000000-0008-0000-0200-00006C000000}"/>
            </a:ext>
          </a:extLst>
        </xdr:cNvPr>
        <xdr:cNvSpPr txBox="1"/>
      </xdr:nvSpPr>
      <xdr:spPr>
        <a:xfrm rot="10800000" flipH="1" flipV="1">
          <a:off x="21412200" y="6896100"/>
          <a:ext cx="4229100" cy="1219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latin typeface="Kulm Park"/>
            </a:rPr>
            <a:t>Ranking forRegion Managers</a:t>
          </a:r>
          <a:endParaRPr lang="en-US" sz="3200" b="1">
            <a:latin typeface="Kulm Park"/>
          </a:endParaRPr>
        </a:p>
      </xdr:txBody>
    </xdr:sp>
    <xdr:clientData/>
  </xdr:twoCellAnchor>
  <xdr:twoCellAnchor>
    <xdr:from>
      <xdr:col>35</xdr:col>
      <xdr:colOff>342900</xdr:colOff>
      <xdr:row>41</xdr:row>
      <xdr:rowOff>60960</xdr:rowOff>
    </xdr:from>
    <xdr:to>
      <xdr:col>39</xdr:col>
      <xdr:colOff>495300</xdr:colOff>
      <xdr:row>47</xdr:row>
      <xdr:rowOff>0</xdr:rowOff>
    </xdr:to>
    <xdr:sp macro="" textlink="'pivot table'!K4">
      <xdr:nvSpPr>
        <xdr:cNvPr id="109" name="TextBox 108">
          <a:extLst>
            <a:ext uri="{FF2B5EF4-FFF2-40B4-BE49-F238E27FC236}">
              <a16:creationId xmlns:a16="http://schemas.microsoft.com/office/drawing/2014/main" id="{00000000-0008-0000-0200-00006D000000}"/>
            </a:ext>
          </a:extLst>
        </xdr:cNvPr>
        <xdr:cNvSpPr txBox="1"/>
      </xdr:nvSpPr>
      <xdr:spPr>
        <a:xfrm>
          <a:off x="21678900" y="7871460"/>
          <a:ext cx="2590800" cy="108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C8418CA-0EB6-4617-A040-1CA42E8DE1ED}" type="TxLink">
            <a:rPr lang="en-US" sz="3200" b="1">
              <a:solidFill>
                <a:sysClr val="windowText" lastClr="000000"/>
              </a:solidFill>
              <a:latin typeface="Kulm Park"/>
            </a:rPr>
            <a:pPr/>
            <a:t>Lisa White</a:t>
          </a:fld>
          <a:endParaRPr lang="en-US" sz="3200" b="1">
            <a:solidFill>
              <a:sysClr val="windowText" lastClr="000000"/>
            </a:solidFill>
            <a:latin typeface="Kulm Park"/>
          </a:endParaRPr>
        </a:p>
      </xdr:txBody>
    </xdr:sp>
    <xdr:clientData/>
  </xdr:twoCellAnchor>
  <xdr:twoCellAnchor>
    <xdr:from>
      <xdr:col>35</xdr:col>
      <xdr:colOff>342900</xdr:colOff>
      <xdr:row>47</xdr:row>
      <xdr:rowOff>60960</xdr:rowOff>
    </xdr:from>
    <xdr:to>
      <xdr:col>39</xdr:col>
      <xdr:colOff>495300</xdr:colOff>
      <xdr:row>53</xdr:row>
      <xdr:rowOff>114300</xdr:rowOff>
    </xdr:to>
    <xdr:sp macro="" textlink="'pivot table'!K5">
      <xdr:nvSpPr>
        <xdr:cNvPr id="110" name="TextBox 109">
          <a:extLst>
            <a:ext uri="{FF2B5EF4-FFF2-40B4-BE49-F238E27FC236}">
              <a16:creationId xmlns:a16="http://schemas.microsoft.com/office/drawing/2014/main" id="{00000000-0008-0000-0200-00006E000000}"/>
            </a:ext>
          </a:extLst>
        </xdr:cNvPr>
        <xdr:cNvSpPr txBox="1"/>
      </xdr:nvSpPr>
      <xdr:spPr>
        <a:xfrm>
          <a:off x="21678900" y="9014460"/>
          <a:ext cx="2590800" cy="119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6AF732E-D514-431F-906D-C6B4840120E6}" type="TxLink">
            <a:rPr lang="en-US" sz="3200" b="1">
              <a:solidFill>
                <a:sysClr val="windowText" lastClr="000000"/>
              </a:solidFill>
              <a:latin typeface="Kulm Park"/>
            </a:rPr>
            <a:pPr/>
            <a:t>Mark Davis</a:t>
          </a:fld>
          <a:endParaRPr lang="en-US" sz="3200" b="1">
            <a:solidFill>
              <a:sysClr val="windowText" lastClr="000000"/>
            </a:solidFill>
            <a:latin typeface="Kulm Park"/>
          </a:endParaRPr>
        </a:p>
      </xdr:txBody>
    </xdr:sp>
    <xdr:clientData/>
  </xdr:twoCellAnchor>
  <xdr:twoCellAnchor>
    <xdr:from>
      <xdr:col>35</xdr:col>
      <xdr:colOff>342900</xdr:colOff>
      <xdr:row>53</xdr:row>
      <xdr:rowOff>175260</xdr:rowOff>
    </xdr:from>
    <xdr:to>
      <xdr:col>39</xdr:col>
      <xdr:colOff>495300</xdr:colOff>
      <xdr:row>59</xdr:row>
      <xdr:rowOff>114300</xdr:rowOff>
    </xdr:to>
    <xdr:sp macro="" textlink="'pivot table'!K13">
      <xdr:nvSpPr>
        <xdr:cNvPr id="111" name="TextBox 110">
          <a:extLst>
            <a:ext uri="{FF2B5EF4-FFF2-40B4-BE49-F238E27FC236}">
              <a16:creationId xmlns:a16="http://schemas.microsoft.com/office/drawing/2014/main" id="{00000000-0008-0000-0200-00006F000000}"/>
            </a:ext>
          </a:extLst>
        </xdr:cNvPr>
        <xdr:cNvSpPr txBox="1"/>
      </xdr:nvSpPr>
      <xdr:spPr>
        <a:xfrm>
          <a:off x="21678900" y="10271760"/>
          <a:ext cx="2590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9AE820-5B9F-4216-9592-572146728DA6}" type="TxLink">
            <a:rPr lang="en-US" sz="3200" b="1">
              <a:solidFill>
                <a:sysClr val="windowText" lastClr="000000"/>
              </a:solidFill>
              <a:latin typeface="Kulm Park"/>
            </a:rPr>
            <a:pPr/>
            <a:t>Tom Brown</a:t>
          </a:fld>
          <a:endParaRPr lang="en-US" sz="3200" b="1">
            <a:solidFill>
              <a:sysClr val="windowText" lastClr="000000"/>
            </a:solidFill>
            <a:latin typeface="Kulm Park"/>
          </a:endParaRPr>
        </a:p>
      </xdr:txBody>
    </xdr:sp>
    <xdr:clientData/>
  </xdr:twoCellAnchor>
  <xdr:twoCellAnchor>
    <xdr:from>
      <xdr:col>35</xdr:col>
      <xdr:colOff>342900</xdr:colOff>
      <xdr:row>60</xdr:row>
      <xdr:rowOff>137160</xdr:rowOff>
    </xdr:from>
    <xdr:to>
      <xdr:col>39</xdr:col>
      <xdr:colOff>495300</xdr:colOff>
      <xdr:row>66</xdr:row>
      <xdr:rowOff>152400</xdr:rowOff>
    </xdr:to>
    <xdr:sp macro="" textlink="'pivot table'!K12">
      <xdr:nvSpPr>
        <xdr:cNvPr id="112" name="TextBox 111">
          <a:extLst>
            <a:ext uri="{FF2B5EF4-FFF2-40B4-BE49-F238E27FC236}">
              <a16:creationId xmlns:a16="http://schemas.microsoft.com/office/drawing/2014/main" id="{00000000-0008-0000-0200-000070000000}"/>
            </a:ext>
          </a:extLst>
        </xdr:cNvPr>
        <xdr:cNvSpPr txBox="1"/>
      </xdr:nvSpPr>
      <xdr:spPr>
        <a:xfrm>
          <a:off x="21678900" y="11719560"/>
          <a:ext cx="2590800" cy="1158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2A20118-0623-42E1-B46F-A39DD8DC8ED4}" type="TxLink">
            <a:rPr lang="en-US" sz="3200" b="1">
              <a:solidFill>
                <a:sysClr val="windowText" lastClr="000000"/>
              </a:solidFill>
              <a:latin typeface="Kulm Park"/>
            </a:rPr>
            <a:pPr/>
            <a:t>Sarah Johnson</a:t>
          </a:fld>
          <a:endParaRPr lang="en-US" sz="3200" b="1">
            <a:solidFill>
              <a:sysClr val="windowText" lastClr="000000"/>
            </a:solidFill>
            <a:latin typeface="Kulm Park"/>
          </a:endParaRPr>
        </a:p>
      </xdr:txBody>
    </xdr:sp>
    <xdr:clientData/>
  </xdr:twoCellAnchor>
  <xdr:twoCellAnchor>
    <xdr:from>
      <xdr:col>41</xdr:col>
      <xdr:colOff>495300</xdr:colOff>
      <xdr:row>41</xdr:row>
      <xdr:rowOff>99060</xdr:rowOff>
    </xdr:from>
    <xdr:to>
      <xdr:col>46</xdr:col>
      <xdr:colOff>38100</xdr:colOff>
      <xdr:row>47</xdr:row>
      <xdr:rowOff>38100</xdr:rowOff>
    </xdr:to>
    <xdr:sp macro="" textlink="'pivot table'!L10">
      <xdr:nvSpPr>
        <xdr:cNvPr id="113" name="TextBox 112">
          <a:extLst>
            <a:ext uri="{FF2B5EF4-FFF2-40B4-BE49-F238E27FC236}">
              <a16:creationId xmlns:a16="http://schemas.microsoft.com/office/drawing/2014/main" id="{00000000-0008-0000-0200-000071000000}"/>
            </a:ext>
          </a:extLst>
        </xdr:cNvPr>
        <xdr:cNvSpPr txBox="1"/>
      </xdr:nvSpPr>
      <xdr:spPr>
        <a:xfrm>
          <a:off x="25488900" y="7909560"/>
          <a:ext cx="2590800" cy="108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5F02DB1-BB0C-46BF-8E61-A376771F2E88}" type="TxLink">
            <a:rPr lang="en-US" sz="3200" b="1">
              <a:solidFill>
                <a:sysClr val="windowText" lastClr="000000"/>
              </a:solidFill>
              <a:latin typeface="Kulm Park"/>
            </a:rPr>
            <a:pPr/>
            <a:t> $48,099 </a:t>
          </a:fld>
          <a:endParaRPr lang="en-US" sz="3200" b="1">
            <a:solidFill>
              <a:sysClr val="windowText" lastClr="000000"/>
            </a:solidFill>
            <a:latin typeface="Kulm Park"/>
          </a:endParaRPr>
        </a:p>
      </xdr:txBody>
    </xdr:sp>
    <xdr:clientData/>
  </xdr:twoCellAnchor>
  <xdr:twoCellAnchor>
    <xdr:from>
      <xdr:col>41</xdr:col>
      <xdr:colOff>495300</xdr:colOff>
      <xdr:row>47</xdr:row>
      <xdr:rowOff>48260</xdr:rowOff>
    </xdr:from>
    <xdr:to>
      <xdr:col>46</xdr:col>
      <xdr:colOff>38100</xdr:colOff>
      <xdr:row>53</xdr:row>
      <xdr:rowOff>101600</xdr:rowOff>
    </xdr:to>
    <xdr:sp macro="" textlink="'pivot table'!L11">
      <xdr:nvSpPr>
        <xdr:cNvPr id="114" name="TextBox 113">
          <a:extLst>
            <a:ext uri="{FF2B5EF4-FFF2-40B4-BE49-F238E27FC236}">
              <a16:creationId xmlns:a16="http://schemas.microsoft.com/office/drawing/2014/main" id="{00000000-0008-0000-0200-000072000000}"/>
            </a:ext>
          </a:extLst>
        </xdr:cNvPr>
        <xdr:cNvSpPr txBox="1"/>
      </xdr:nvSpPr>
      <xdr:spPr>
        <a:xfrm>
          <a:off x="25488900" y="9001760"/>
          <a:ext cx="2590800" cy="119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089F56E-4B6E-43B0-8DC6-A04DC79AD1F3}" type="TxLink">
            <a:rPr lang="en-US" sz="3200" b="1">
              <a:solidFill>
                <a:sysClr val="windowText" lastClr="000000"/>
              </a:solidFill>
              <a:latin typeface="Kulm Park"/>
            </a:rPr>
            <a:pPr/>
            <a:t> $43,680 </a:t>
          </a:fld>
          <a:endParaRPr lang="en-US" sz="3200" b="1">
            <a:solidFill>
              <a:sysClr val="windowText" lastClr="000000"/>
            </a:solidFill>
            <a:latin typeface="Kulm Park"/>
          </a:endParaRPr>
        </a:p>
      </xdr:txBody>
    </xdr:sp>
    <xdr:clientData/>
  </xdr:twoCellAnchor>
  <xdr:twoCellAnchor>
    <xdr:from>
      <xdr:col>41</xdr:col>
      <xdr:colOff>495300</xdr:colOff>
      <xdr:row>53</xdr:row>
      <xdr:rowOff>111760</xdr:rowOff>
    </xdr:from>
    <xdr:to>
      <xdr:col>46</xdr:col>
      <xdr:colOff>38100</xdr:colOff>
      <xdr:row>59</xdr:row>
      <xdr:rowOff>50800</xdr:rowOff>
    </xdr:to>
    <xdr:sp macro="" textlink="'pivot table'!L13">
      <xdr:nvSpPr>
        <xdr:cNvPr id="117" name="TextBox 116">
          <a:extLst>
            <a:ext uri="{FF2B5EF4-FFF2-40B4-BE49-F238E27FC236}">
              <a16:creationId xmlns:a16="http://schemas.microsoft.com/office/drawing/2014/main" id="{00000000-0008-0000-0200-000075000000}"/>
            </a:ext>
          </a:extLst>
        </xdr:cNvPr>
        <xdr:cNvSpPr txBox="1"/>
      </xdr:nvSpPr>
      <xdr:spPr>
        <a:xfrm>
          <a:off x="25488900" y="10208260"/>
          <a:ext cx="2590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3D4296D-B378-4E1E-AF4A-85B291984DAE}" type="TxLink">
            <a:rPr lang="en-US" sz="3200" b="1">
              <a:solidFill>
                <a:sysClr val="windowText" lastClr="000000"/>
              </a:solidFill>
              <a:latin typeface="Kulm Park"/>
            </a:rPr>
            <a:pPr/>
            <a:t> $64,551 </a:t>
          </a:fld>
          <a:endParaRPr lang="en-US" sz="3200" b="1">
            <a:solidFill>
              <a:sysClr val="windowText" lastClr="000000"/>
            </a:solidFill>
            <a:latin typeface="Kulm Park"/>
          </a:endParaRPr>
        </a:p>
      </xdr:txBody>
    </xdr:sp>
    <xdr:clientData/>
  </xdr:twoCellAnchor>
  <xdr:twoCellAnchor>
    <xdr:from>
      <xdr:col>41</xdr:col>
      <xdr:colOff>495300</xdr:colOff>
      <xdr:row>59</xdr:row>
      <xdr:rowOff>60960</xdr:rowOff>
    </xdr:from>
    <xdr:to>
      <xdr:col>46</xdr:col>
      <xdr:colOff>38100</xdr:colOff>
      <xdr:row>65</xdr:row>
      <xdr:rowOff>152400</xdr:rowOff>
    </xdr:to>
    <xdr:sp macro="" textlink="'pivot table'!L12">
      <xdr:nvSpPr>
        <xdr:cNvPr id="118" name="TextBox 117">
          <a:extLst>
            <a:ext uri="{FF2B5EF4-FFF2-40B4-BE49-F238E27FC236}">
              <a16:creationId xmlns:a16="http://schemas.microsoft.com/office/drawing/2014/main" id="{00000000-0008-0000-0200-000076000000}"/>
            </a:ext>
          </a:extLst>
        </xdr:cNvPr>
        <xdr:cNvSpPr txBox="1"/>
      </xdr:nvSpPr>
      <xdr:spPr>
        <a:xfrm>
          <a:off x="25488900" y="11452860"/>
          <a:ext cx="2590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AEA59E-34C7-4775-BB98-581CD08D6C7C}" type="TxLink">
            <a:rPr lang="en-US" sz="3200" b="1">
              <a:solidFill>
                <a:sysClr val="windowText" lastClr="000000"/>
              </a:solidFill>
              <a:latin typeface="Kulm Park"/>
            </a:rPr>
            <a:pPr/>
            <a:t> $52,442 </a:t>
          </a:fld>
          <a:endParaRPr lang="en-US" sz="3200" b="1">
            <a:solidFill>
              <a:sysClr val="windowText" lastClr="000000"/>
            </a:solidFill>
            <a:latin typeface="Kulm Park"/>
          </a:endParaRPr>
        </a:p>
      </xdr:txBody>
    </xdr:sp>
    <xdr:clientData/>
  </xdr:twoCellAnchor>
  <xdr:twoCellAnchor>
    <xdr:from>
      <xdr:col>34</xdr:col>
      <xdr:colOff>0</xdr:colOff>
      <xdr:row>42</xdr:row>
      <xdr:rowOff>114300</xdr:rowOff>
    </xdr:from>
    <xdr:to>
      <xdr:col>35</xdr:col>
      <xdr:colOff>0</xdr:colOff>
      <xdr:row>46</xdr:row>
      <xdr:rowOff>76200</xdr:rowOff>
    </xdr:to>
    <xdr:sp macro="" textlink="">
      <xdr:nvSpPr>
        <xdr:cNvPr id="10" name="Oval 9">
          <a:extLst>
            <a:ext uri="{FF2B5EF4-FFF2-40B4-BE49-F238E27FC236}">
              <a16:creationId xmlns:a16="http://schemas.microsoft.com/office/drawing/2014/main" id="{00000000-0008-0000-0200-00000A000000}"/>
            </a:ext>
          </a:extLst>
        </xdr:cNvPr>
        <xdr:cNvSpPr/>
      </xdr:nvSpPr>
      <xdr:spPr>
        <a:xfrm>
          <a:off x="20726400" y="81153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1</a:t>
          </a:r>
        </a:p>
      </xdr:txBody>
    </xdr:sp>
    <xdr:clientData/>
  </xdr:twoCellAnchor>
  <xdr:twoCellAnchor>
    <xdr:from>
      <xdr:col>33</xdr:col>
      <xdr:colOff>571500</xdr:colOff>
      <xdr:row>49</xdr:row>
      <xdr:rowOff>0</xdr:rowOff>
    </xdr:from>
    <xdr:to>
      <xdr:col>34</xdr:col>
      <xdr:colOff>571500</xdr:colOff>
      <xdr:row>52</xdr:row>
      <xdr:rowOff>152400</xdr:rowOff>
    </xdr:to>
    <xdr:sp macro="" textlink="">
      <xdr:nvSpPr>
        <xdr:cNvPr id="119" name="Oval 118">
          <a:extLst>
            <a:ext uri="{FF2B5EF4-FFF2-40B4-BE49-F238E27FC236}">
              <a16:creationId xmlns:a16="http://schemas.microsoft.com/office/drawing/2014/main" id="{00000000-0008-0000-0200-000077000000}"/>
            </a:ext>
          </a:extLst>
        </xdr:cNvPr>
        <xdr:cNvSpPr/>
      </xdr:nvSpPr>
      <xdr:spPr>
        <a:xfrm>
          <a:off x="20688300" y="93345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2</a:t>
          </a:r>
        </a:p>
      </xdr:txBody>
    </xdr:sp>
    <xdr:clientData/>
  </xdr:twoCellAnchor>
  <xdr:twoCellAnchor>
    <xdr:from>
      <xdr:col>34</xdr:col>
      <xdr:colOff>0</xdr:colOff>
      <xdr:row>54</xdr:row>
      <xdr:rowOff>190500</xdr:rowOff>
    </xdr:from>
    <xdr:to>
      <xdr:col>35</xdr:col>
      <xdr:colOff>0</xdr:colOff>
      <xdr:row>58</xdr:row>
      <xdr:rowOff>0</xdr:rowOff>
    </xdr:to>
    <xdr:sp macro="" textlink="">
      <xdr:nvSpPr>
        <xdr:cNvPr id="120" name="Oval 119">
          <a:extLst>
            <a:ext uri="{FF2B5EF4-FFF2-40B4-BE49-F238E27FC236}">
              <a16:creationId xmlns:a16="http://schemas.microsoft.com/office/drawing/2014/main" id="{00000000-0008-0000-0200-000078000000}"/>
            </a:ext>
          </a:extLst>
        </xdr:cNvPr>
        <xdr:cNvSpPr/>
      </xdr:nvSpPr>
      <xdr:spPr>
        <a:xfrm>
          <a:off x="20726400" y="104775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3</a:t>
          </a:r>
        </a:p>
      </xdr:txBody>
    </xdr:sp>
    <xdr:clientData/>
  </xdr:twoCellAnchor>
  <xdr:twoCellAnchor>
    <xdr:from>
      <xdr:col>34</xdr:col>
      <xdr:colOff>0</xdr:colOff>
      <xdr:row>61</xdr:row>
      <xdr:rowOff>76200</xdr:rowOff>
    </xdr:from>
    <xdr:to>
      <xdr:col>35</xdr:col>
      <xdr:colOff>0</xdr:colOff>
      <xdr:row>65</xdr:row>
      <xdr:rowOff>38100</xdr:rowOff>
    </xdr:to>
    <xdr:sp macro="" textlink="">
      <xdr:nvSpPr>
        <xdr:cNvPr id="121" name="Oval 120">
          <a:extLst>
            <a:ext uri="{FF2B5EF4-FFF2-40B4-BE49-F238E27FC236}">
              <a16:creationId xmlns:a16="http://schemas.microsoft.com/office/drawing/2014/main" id="{00000000-0008-0000-0200-000079000000}"/>
            </a:ext>
          </a:extLst>
        </xdr:cNvPr>
        <xdr:cNvSpPr/>
      </xdr:nvSpPr>
      <xdr:spPr>
        <a:xfrm>
          <a:off x="20726400" y="118491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4</a:t>
          </a:r>
        </a:p>
      </xdr:txBody>
    </xdr:sp>
    <xdr:clientData/>
  </xdr:twoCellAnchor>
  <xdr:twoCellAnchor>
    <xdr:from>
      <xdr:col>19</xdr:col>
      <xdr:colOff>304800</xdr:colOff>
      <xdr:row>69</xdr:row>
      <xdr:rowOff>76200</xdr:rowOff>
    </xdr:from>
    <xdr:to>
      <xdr:col>39</xdr:col>
      <xdr:colOff>152400</xdr:colOff>
      <xdr:row>102</xdr:row>
      <xdr:rowOff>0</xdr:rowOff>
    </xdr:to>
    <xdr:sp macro="" textlink="">
      <xdr:nvSpPr>
        <xdr:cNvPr id="122" name="Rounded Rectangle 121">
          <a:extLst>
            <a:ext uri="{FF2B5EF4-FFF2-40B4-BE49-F238E27FC236}">
              <a16:creationId xmlns:a16="http://schemas.microsoft.com/office/drawing/2014/main" id="{00000000-0008-0000-0200-00007A000000}"/>
            </a:ext>
          </a:extLst>
        </xdr:cNvPr>
        <xdr:cNvSpPr/>
      </xdr:nvSpPr>
      <xdr:spPr>
        <a:xfrm>
          <a:off x="11887200" y="13373100"/>
          <a:ext cx="12039600" cy="62103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457200</xdr:colOff>
      <xdr:row>70</xdr:row>
      <xdr:rowOff>152400</xdr:rowOff>
    </xdr:from>
    <xdr:to>
      <xdr:col>29</xdr:col>
      <xdr:colOff>76200</xdr:colOff>
      <xdr:row>75</xdr:row>
      <xdr:rowOff>114300</xdr:rowOff>
    </xdr:to>
    <xdr:sp macro="" textlink="">
      <xdr:nvSpPr>
        <xdr:cNvPr id="126" name="TextBox 125">
          <a:extLst>
            <a:ext uri="{FF2B5EF4-FFF2-40B4-BE49-F238E27FC236}">
              <a16:creationId xmlns:a16="http://schemas.microsoft.com/office/drawing/2014/main" id="{00000000-0008-0000-0200-00007E000000}"/>
            </a:ext>
          </a:extLst>
        </xdr:cNvPr>
        <xdr:cNvSpPr txBox="1"/>
      </xdr:nvSpPr>
      <xdr:spPr>
        <a:xfrm rot="10800000" flipH="1" flipV="1">
          <a:off x="12649200" y="13639800"/>
          <a:ext cx="5105400" cy="914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latin typeface="Kulm Park"/>
            </a:rPr>
            <a:t>Sales By </a:t>
          </a:r>
          <a:r>
            <a:rPr lang="en-US" sz="3600" b="1" baseline="0">
              <a:latin typeface="Kulm Park"/>
            </a:rPr>
            <a:t>Categories</a:t>
          </a:r>
          <a:endParaRPr lang="en-US" sz="3200" b="1">
            <a:latin typeface="Kulm Park"/>
          </a:endParaRPr>
        </a:p>
      </xdr:txBody>
    </xdr:sp>
    <xdr:clientData/>
  </xdr:twoCellAnchor>
  <xdr:twoCellAnchor>
    <xdr:from>
      <xdr:col>21</xdr:col>
      <xdr:colOff>114300</xdr:colOff>
      <xdr:row>75</xdr:row>
      <xdr:rowOff>38100</xdr:rowOff>
    </xdr:from>
    <xdr:to>
      <xdr:col>38</xdr:col>
      <xdr:colOff>533400</xdr:colOff>
      <xdr:row>98</xdr:row>
      <xdr:rowOff>152400</xdr:rowOff>
    </xdr:to>
    <xdr:graphicFrame macro="">
      <xdr:nvGraphicFramePr>
        <xdr:cNvPr id="127" name="Chart 126">
          <a:extLst>
            <a:ext uri="{FF2B5EF4-FFF2-40B4-BE49-F238E27FC236}">
              <a16:creationId xmlns:a16="http://schemas.microsoft.com/office/drawing/2014/main" id="{00000000-0008-0000-02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571500</xdr:colOff>
      <xdr:row>39</xdr:row>
      <xdr:rowOff>38100</xdr:rowOff>
    </xdr:from>
    <xdr:to>
      <xdr:col>32</xdr:col>
      <xdr:colOff>571500</xdr:colOff>
      <xdr:row>65</xdr:row>
      <xdr:rowOff>76200</xdr:rowOff>
    </xdr:to>
    <xdr:graphicFrame macro="">
      <xdr:nvGraphicFramePr>
        <xdr:cNvPr id="128" name="Chart 127">
          <a:extLst>
            <a:ext uri="{FF2B5EF4-FFF2-40B4-BE49-F238E27FC236}">
              <a16:creationId xmlns:a16="http://schemas.microsoft.com/office/drawing/2014/main" id="{00000000-0008-0000-0200-00008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381000</xdr:colOff>
      <xdr:row>69</xdr:row>
      <xdr:rowOff>114300</xdr:rowOff>
    </xdr:from>
    <xdr:to>
      <xdr:col>46</xdr:col>
      <xdr:colOff>533400</xdr:colOff>
      <xdr:row>102</xdr:row>
      <xdr:rowOff>0</xdr:rowOff>
    </xdr:to>
    <xdr:sp macro="" textlink="">
      <xdr:nvSpPr>
        <xdr:cNvPr id="129" name="Rounded Rectangle 128">
          <a:extLst>
            <a:ext uri="{FF2B5EF4-FFF2-40B4-BE49-F238E27FC236}">
              <a16:creationId xmlns:a16="http://schemas.microsoft.com/office/drawing/2014/main" id="{00000000-0008-0000-0200-000081000000}"/>
            </a:ext>
          </a:extLst>
        </xdr:cNvPr>
        <xdr:cNvSpPr/>
      </xdr:nvSpPr>
      <xdr:spPr>
        <a:xfrm>
          <a:off x="24155400" y="13411200"/>
          <a:ext cx="4419600" cy="61722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190500</xdr:colOff>
      <xdr:row>71</xdr:row>
      <xdr:rowOff>0</xdr:rowOff>
    </xdr:from>
    <xdr:to>
      <xdr:col>46</xdr:col>
      <xdr:colOff>342900</xdr:colOff>
      <xdr:row>74</xdr:row>
      <xdr:rowOff>152400</xdr:rowOff>
    </xdr:to>
    <xdr:sp macro="" textlink="">
      <xdr:nvSpPr>
        <xdr:cNvPr id="133" name="TextBox 132">
          <a:extLst>
            <a:ext uri="{FF2B5EF4-FFF2-40B4-BE49-F238E27FC236}">
              <a16:creationId xmlns:a16="http://schemas.microsoft.com/office/drawing/2014/main" id="{00000000-0008-0000-0200-000085000000}"/>
            </a:ext>
          </a:extLst>
        </xdr:cNvPr>
        <xdr:cNvSpPr txBox="1"/>
      </xdr:nvSpPr>
      <xdr:spPr>
        <a:xfrm rot="10800000" flipH="1" flipV="1">
          <a:off x="25184100" y="13677900"/>
          <a:ext cx="3200400" cy="723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latin typeface="Kulm Park"/>
            </a:rPr>
            <a:t>Top 4 Sellers</a:t>
          </a:r>
          <a:endParaRPr lang="en-US" sz="3200" b="1">
            <a:latin typeface="Kulm Park"/>
          </a:endParaRPr>
        </a:p>
      </xdr:txBody>
    </xdr:sp>
    <xdr:clientData/>
  </xdr:twoCellAnchor>
  <xdr:twoCellAnchor>
    <xdr:from>
      <xdr:col>40</xdr:col>
      <xdr:colOff>571500</xdr:colOff>
      <xdr:row>76</xdr:row>
      <xdr:rowOff>0</xdr:rowOff>
    </xdr:from>
    <xdr:to>
      <xdr:col>43</xdr:col>
      <xdr:colOff>152400</xdr:colOff>
      <xdr:row>80</xdr:row>
      <xdr:rowOff>76200</xdr:rowOff>
    </xdr:to>
    <xdr:sp macro="" textlink="'pivot table'!Q4">
      <xdr:nvSpPr>
        <xdr:cNvPr id="134" name="TextBox 133">
          <a:extLst>
            <a:ext uri="{FF2B5EF4-FFF2-40B4-BE49-F238E27FC236}">
              <a16:creationId xmlns:a16="http://schemas.microsoft.com/office/drawing/2014/main" id="{00000000-0008-0000-0200-000086000000}"/>
            </a:ext>
          </a:extLst>
        </xdr:cNvPr>
        <xdr:cNvSpPr txBox="1"/>
      </xdr:nvSpPr>
      <xdr:spPr>
        <a:xfrm rot="10800000" flipH="1" flipV="1">
          <a:off x="24955500" y="14630400"/>
          <a:ext cx="1409700" cy="838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906AC3-9323-4DD2-B3AA-D0287EE47DE6}" type="TxLink">
            <a:rPr lang="en-US" sz="3200" b="1">
              <a:latin typeface="Kulm Park"/>
            </a:rPr>
            <a:pPr/>
            <a:t>Eve</a:t>
          </a:fld>
          <a:endParaRPr lang="en-US" sz="3200" b="1">
            <a:latin typeface="Kulm Park"/>
          </a:endParaRPr>
        </a:p>
      </xdr:txBody>
    </xdr:sp>
    <xdr:clientData/>
  </xdr:twoCellAnchor>
  <xdr:twoCellAnchor>
    <xdr:from>
      <xdr:col>41</xdr:col>
      <xdr:colOff>38100</xdr:colOff>
      <xdr:row>82</xdr:row>
      <xdr:rowOff>95068</xdr:rowOff>
    </xdr:from>
    <xdr:to>
      <xdr:col>43</xdr:col>
      <xdr:colOff>152400</xdr:colOff>
      <xdr:row>85</xdr:row>
      <xdr:rowOff>56968</xdr:rowOff>
    </xdr:to>
    <xdr:sp macro="" textlink="'pivot table'!Q11">
      <xdr:nvSpPr>
        <xdr:cNvPr id="135" name="TextBox 134">
          <a:extLst>
            <a:ext uri="{FF2B5EF4-FFF2-40B4-BE49-F238E27FC236}">
              <a16:creationId xmlns:a16="http://schemas.microsoft.com/office/drawing/2014/main" id="{00000000-0008-0000-0200-000087000000}"/>
            </a:ext>
          </a:extLst>
        </xdr:cNvPr>
        <xdr:cNvSpPr txBox="1"/>
      </xdr:nvSpPr>
      <xdr:spPr>
        <a:xfrm rot="10800000" flipH="1" flipV="1">
          <a:off x="25031700" y="15868468"/>
          <a:ext cx="133350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59281B-9FCB-4DD0-BE53-0F9D081607FB}" type="TxLink">
            <a:rPr lang="en-US" sz="3200" b="1">
              <a:latin typeface="Kulm Park"/>
            </a:rPr>
            <a:pPr/>
            <a:t>Alice</a:t>
          </a:fld>
          <a:endParaRPr lang="en-US" sz="3200" b="1">
            <a:latin typeface="Kulm Park"/>
          </a:endParaRPr>
        </a:p>
      </xdr:txBody>
    </xdr:sp>
    <xdr:clientData/>
  </xdr:twoCellAnchor>
  <xdr:twoCellAnchor>
    <xdr:from>
      <xdr:col>41</xdr:col>
      <xdr:colOff>38100</xdr:colOff>
      <xdr:row>88</xdr:row>
      <xdr:rowOff>113936</xdr:rowOff>
    </xdr:from>
    <xdr:to>
      <xdr:col>43</xdr:col>
      <xdr:colOff>419100</xdr:colOff>
      <xdr:row>91</xdr:row>
      <xdr:rowOff>190136</xdr:rowOff>
    </xdr:to>
    <xdr:sp macro="" textlink="'pivot table'!Q12">
      <xdr:nvSpPr>
        <xdr:cNvPr id="136" name="TextBox 135">
          <a:extLst>
            <a:ext uri="{FF2B5EF4-FFF2-40B4-BE49-F238E27FC236}">
              <a16:creationId xmlns:a16="http://schemas.microsoft.com/office/drawing/2014/main" id="{00000000-0008-0000-0200-000088000000}"/>
            </a:ext>
          </a:extLst>
        </xdr:cNvPr>
        <xdr:cNvSpPr txBox="1"/>
      </xdr:nvSpPr>
      <xdr:spPr>
        <a:xfrm rot="10800000" flipH="1" flipV="1">
          <a:off x="25031700" y="17030336"/>
          <a:ext cx="1600200"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F613FB-0B6B-4680-9195-8E1BD14410EB}" type="TxLink">
            <a:rPr lang="en-US" sz="3200" b="1">
              <a:latin typeface="Kulm Park"/>
            </a:rPr>
            <a:pPr/>
            <a:t>Bob</a:t>
          </a:fld>
          <a:endParaRPr lang="en-US" sz="3200" b="1">
            <a:latin typeface="Kulm Park"/>
          </a:endParaRPr>
        </a:p>
      </xdr:txBody>
    </xdr:sp>
    <xdr:clientData/>
  </xdr:twoCellAnchor>
  <xdr:twoCellAnchor>
    <xdr:from>
      <xdr:col>40</xdr:col>
      <xdr:colOff>571500</xdr:colOff>
      <xdr:row>95</xdr:row>
      <xdr:rowOff>94704</xdr:rowOff>
    </xdr:from>
    <xdr:to>
      <xdr:col>43</xdr:col>
      <xdr:colOff>304800</xdr:colOff>
      <xdr:row>98</xdr:row>
      <xdr:rowOff>38100</xdr:rowOff>
    </xdr:to>
    <xdr:sp macro="" textlink="'pivot table'!Q13">
      <xdr:nvSpPr>
        <xdr:cNvPr id="137" name="TextBox 136">
          <a:extLst>
            <a:ext uri="{FF2B5EF4-FFF2-40B4-BE49-F238E27FC236}">
              <a16:creationId xmlns:a16="http://schemas.microsoft.com/office/drawing/2014/main" id="{00000000-0008-0000-0200-000089000000}"/>
            </a:ext>
          </a:extLst>
        </xdr:cNvPr>
        <xdr:cNvSpPr txBox="1"/>
      </xdr:nvSpPr>
      <xdr:spPr>
        <a:xfrm rot="10800000" flipH="1" flipV="1">
          <a:off x="24955500" y="18344604"/>
          <a:ext cx="1562100" cy="514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EB27AD-97AC-43B7-B625-1F285B603626}" type="TxLink">
            <a:rPr lang="en-US" sz="3200" b="1">
              <a:latin typeface="Kulm Park"/>
            </a:rPr>
            <a:pPr/>
            <a:t>Charlie</a:t>
          </a:fld>
          <a:endParaRPr lang="en-US" sz="3200" b="1">
            <a:latin typeface="Kulm Park"/>
          </a:endParaRPr>
        </a:p>
      </xdr:txBody>
    </xdr:sp>
    <xdr:clientData/>
  </xdr:twoCellAnchor>
  <xdr:twoCellAnchor>
    <xdr:from>
      <xdr:col>43</xdr:col>
      <xdr:colOff>228600</xdr:colOff>
      <xdr:row>74</xdr:row>
      <xdr:rowOff>175260</xdr:rowOff>
    </xdr:from>
    <xdr:to>
      <xdr:col>46</xdr:col>
      <xdr:colOff>304800</xdr:colOff>
      <xdr:row>80</xdr:row>
      <xdr:rowOff>152400</xdr:rowOff>
    </xdr:to>
    <xdr:sp macro="" textlink="'pivot table'!R10">
      <xdr:nvSpPr>
        <xdr:cNvPr id="143" name="TextBox 142">
          <a:extLst>
            <a:ext uri="{FF2B5EF4-FFF2-40B4-BE49-F238E27FC236}">
              <a16:creationId xmlns:a16="http://schemas.microsoft.com/office/drawing/2014/main" id="{00000000-0008-0000-0200-00008F000000}"/>
            </a:ext>
          </a:extLst>
        </xdr:cNvPr>
        <xdr:cNvSpPr txBox="1"/>
      </xdr:nvSpPr>
      <xdr:spPr>
        <a:xfrm>
          <a:off x="26441400" y="14424660"/>
          <a:ext cx="1905000" cy="1120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624F9D7-C77C-47A7-9549-6C1EE70E2531}" type="TxLink">
            <a:rPr lang="en-US" sz="3200" b="1">
              <a:solidFill>
                <a:sysClr val="windowText" lastClr="000000"/>
              </a:solidFill>
              <a:latin typeface="Kulm Park"/>
            </a:rPr>
            <a:pPr/>
            <a:t> $55,711 </a:t>
          </a:fld>
          <a:endParaRPr lang="en-US" sz="3200" b="1">
            <a:solidFill>
              <a:sysClr val="windowText" lastClr="000000"/>
            </a:solidFill>
            <a:latin typeface="Kulm Park"/>
          </a:endParaRPr>
        </a:p>
      </xdr:txBody>
    </xdr:sp>
    <xdr:clientData/>
  </xdr:twoCellAnchor>
  <xdr:twoCellAnchor>
    <xdr:from>
      <xdr:col>43</xdr:col>
      <xdr:colOff>304800</xdr:colOff>
      <xdr:row>80</xdr:row>
      <xdr:rowOff>175260</xdr:rowOff>
    </xdr:from>
    <xdr:to>
      <xdr:col>46</xdr:col>
      <xdr:colOff>304800</xdr:colOff>
      <xdr:row>86</xdr:row>
      <xdr:rowOff>152400</xdr:rowOff>
    </xdr:to>
    <xdr:sp macro="" textlink="'pivot table'!R11">
      <xdr:nvSpPr>
        <xdr:cNvPr id="144" name="TextBox 143">
          <a:extLst>
            <a:ext uri="{FF2B5EF4-FFF2-40B4-BE49-F238E27FC236}">
              <a16:creationId xmlns:a16="http://schemas.microsoft.com/office/drawing/2014/main" id="{00000000-0008-0000-0200-000090000000}"/>
            </a:ext>
          </a:extLst>
        </xdr:cNvPr>
        <xdr:cNvSpPr txBox="1"/>
      </xdr:nvSpPr>
      <xdr:spPr>
        <a:xfrm>
          <a:off x="26517600" y="15567660"/>
          <a:ext cx="1828800" cy="1120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43BDB6B-2E5B-4330-B49C-E3A0071618AC}" type="TxLink">
            <a:rPr lang="en-US" sz="3200" b="1">
              <a:solidFill>
                <a:sysClr val="windowText" lastClr="000000"/>
              </a:solidFill>
              <a:latin typeface="Kulm Park"/>
            </a:rPr>
            <a:pPr/>
            <a:t> $45,223 </a:t>
          </a:fld>
          <a:endParaRPr lang="en-US" sz="3200" b="1">
            <a:solidFill>
              <a:sysClr val="windowText" lastClr="000000"/>
            </a:solidFill>
            <a:latin typeface="Kulm Park"/>
          </a:endParaRPr>
        </a:p>
      </xdr:txBody>
    </xdr:sp>
    <xdr:clientData/>
  </xdr:twoCellAnchor>
  <xdr:twoCellAnchor>
    <xdr:from>
      <xdr:col>43</xdr:col>
      <xdr:colOff>381000</xdr:colOff>
      <xdr:row>86</xdr:row>
      <xdr:rowOff>137160</xdr:rowOff>
    </xdr:from>
    <xdr:to>
      <xdr:col>46</xdr:col>
      <xdr:colOff>304800</xdr:colOff>
      <xdr:row>92</xdr:row>
      <xdr:rowOff>114300</xdr:rowOff>
    </xdr:to>
    <xdr:sp macro="" textlink="'pivot table'!R12">
      <xdr:nvSpPr>
        <xdr:cNvPr id="145" name="TextBox 144">
          <a:extLst>
            <a:ext uri="{FF2B5EF4-FFF2-40B4-BE49-F238E27FC236}">
              <a16:creationId xmlns:a16="http://schemas.microsoft.com/office/drawing/2014/main" id="{00000000-0008-0000-0200-000091000000}"/>
            </a:ext>
          </a:extLst>
        </xdr:cNvPr>
        <xdr:cNvSpPr txBox="1"/>
      </xdr:nvSpPr>
      <xdr:spPr>
        <a:xfrm>
          <a:off x="26593800" y="16672560"/>
          <a:ext cx="1752600" cy="1120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4C02E84-7D8F-4CE3-862F-6E072A972221}" type="TxLink">
            <a:rPr lang="en-US" sz="3200" b="1">
              <a:solidFill>
                <a:sysClr val="windowText" lastClr="000000"/>
              </a:solidFill>
              <a:latin typeface="Kulm Park"/>
            </a:rPr>
            <a:pPr/>
            <a:t> $39,607 </a:t>
          </a:fld>
          <a:endParaRPr lang="en-US" sz="3200" b="1">
            <a:solidFill>
              <a:sysClr val="windowText" lastClr="000000"/>
            </a:solidFill>
            <a:latin typeface="Kulm Park"/>
          </a:endParaRPr>
        </a:p>
      </xdr:txBody>
    </xdr:sp>
    <xdr:clientData/>
  </xdr:twoCellAnchor>
  <xdr:twoCellAnchor>
    <xdr:from>
      <xdr:col>43</xdr:col>
      <xdr:colOff>304800</xdr:colOff>
      <xdr:row>94</xdr:row>
      <xdr:rowOff>175260</xdr:rowOff>
    </xdr:from>
    <xdr:to>
      <xdr:col>46</xdr:col>
      <xdr:colOff>266700</xdr:colOff>
      <xdr:row>100</xdr:row>
      <xdr:rowOff>0</xdr:rowOff>
    </xdr:to>
    <xdr:sp macro="" textlink="'pivot table'!R13">
      <xdr:nvSpPr>
        <xdr:cNvPr id="146" name="TextBox 145">
          <a:extLst>
            <a:ext uri="{FF2B5EF4-FFF2-40B4-BE49-F238E27FC236}">
              <a16:creationId xmlns:a16="http://schemas.microsoft.com/office/drawing/2014/main" id="{00000000-0008-0000-0200-000092000000}"/>
            </a:ext>
          </a:extLst>
        </xdr:cNvPr>
        <xdr:cNvSpPr txBox="1"/>
      </xdr:nvSpPr>
      <xdr:spPr>
        <a:xfrm>
          <a:off x="26517600" y="18234660"/>
          <a:ext cx="1790700" cy="96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E166CB3-50B1-48A0-8400-DDF8A6E320AF}" type="TxLink">
            <a:rPr lang="en-US" sz="3200" b="1">
              <a:solidFill>
                <a:sysClr val="windowText" lastClr="000000"/>
              </a:solidFill>
              <a:latin typeface="Kulm Park"/>
            </a:rPr>
            <a:pPr/>
            <a:t> $35,077 </a:t>
          </a:fld>
          <a:endParaRPr lang="en-US" sz="3200" b="1">
            <a:solidFill>
              <a:sysClr val="windowText" lastClr="000000"/>
            </a:solidFill>
            <a:latin typeface="Kulm Park"/>
          </a:endParaRPr>
        </a:p>
      </xdr:txBody>
    </xdr:sp>
    <xdr:clientData/>
  </xdr:twoCellAnchor>
  <xdr:twoCellAnchor>
    <xdr:from>
      <xdr:col>39</xdr:col>
      <xdr:colOff>495300</xdr:colOff>
      <xdr:row>75</xdr:row>
      <xdr:rowOff>38100</xdr:rowOff>
    </xdr:from>
    <xdr:to>
      <xdr:col>40</xdr:col>
      <xdr:colOff>495300</xdr:colOff>
      <xdr:row>79</xdr:row>
      <xdr:rowOff>0</xdr:rowOff>
    </xdr:to>
    <xdr:sp macro="" textlink="">
      <xdr:nvSpPr>
        <xdr:cNvPr id="147" name="Oval 146">
          <a:extLst>
            <a:ext uri="{FF2B5EF4-FFF2-40B4-BE49-F238E27FC236}">
              <a16:creationId xmlns:a16="http://schemas.microsoft.com/office/drawing/2014/main" id="{00000000-0008-0000-0200-000093000000}"/>
            </a:ext>
          </a:extLst>
        </xdr:cNvPr>
        <xdr:cNvSpPr/>
      </xdr:nvSpPr>
      <xdr:spPr>
        <a:xfrm>
          <a:off x="24269700" y="144780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1</a:t>
          </a:r>
        </a:p>
      </xdr:txBody>
    </xdr:sp>
    <xdr:clientData/>
  </xdr:twoCellAnchor>
  <xdr:twoCellAnchor>
    <xdr:from>
      <xdr:col>39</xdr:col>
      <xdr:colOff>457200</xdr:colOff>
      <xdr:row>82</xdr:row>
      <xdr:rowOff>114300</xdr:rowOff>
    </xdr:from>
    <xdr:to>
      <xdr:col>40</xdr:col>
      <xdr:colOff>457200</xdr:colOff>
      <xdr:row>86</xdr:row>
      <xdr:rowOff>76200</xdr:rowOff>
    </xdr:to>
    <xdr:sp macro="" textlink="">
      <xdr:nvSpPr>
        <xdr:cNvPr id="148" name="Oval 147">
          <a:extLst>
            <a:ext uri="{FF2B5EF4-FFF2-40B4-BE49-F238E27FC236}">
              <a16:creationId xmlns:a16="http://schemas.microsoft.com/office/drawing/2014/main" id="{00000000-0008-0000-0200-000094000000}"/>
            </a:ext>
          </a:extLst>
        </xdr:cNvPr>
        <xdr:cNvSpPr/>
      </xdr:nvSpPr>
      <xdr:spPr>
        <a:xfrm>
          <a:off x="24231600" y="158877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2</a:t>
          </a:r>
        </a:p>
      </xdr:txBody>
    </xdr:sp>
    <xdr:clientData/>
  </xdr:twoCellAnchor>
  <xdr:twoCellAnchor>
    <xdr:from>
      <xdr:col>39</xdr:col>
      <xdr:colOff>495300</xdr:colOff>
      <xdr:row>88</xdr:row>
      <xdr:rowOff>38100</xdr:rowOff>
    </xdr:from>
    <xdr:to>
      <xdr:col>40</xdr:col>
      <xdr:colOff>495300</xdr:colOff>
      <xdr:row>92</xdr:row>
      <xdr:rowOff>0</xdr:rowOff>
    </xdr:to>
    <xdr:sp macro="" textlink="">
      <xdr:nvSpPr>
        <xdr:cNvPr id="149" name="Oval 148">
          <a:extLst>
            <a:ext uri="{FF2B5EF4-FFF2-40B4-BE49-F238E27FC236}">
              <a16:creationId xmlns:a16="http://schemas.microsoft.com/office/drawing/2014/main" id="{00000000-0008-0000-0200-000095000000}"/>
            </a:ext>
          </a:extLst>
        </xdr:cNvPr>
        <xdr:cNvSpPr/>
      </xdr:nvSpPr>
      <xdr:spPr>
        <a:xfrm>
          <a:off x="24269700" y="169545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3</a:t>
          </a:r>
        </a:p>
      </xdr:txBody>
    </xdr:sp>
    <xdr:clientData/>
  </xdr:twoCellAnchor>
  <xdr:twoCellAnchor>
    <xdr:from>
      <xdr:col>39</xdr:col>
      <xdr:colOff>495300</xdr:colOff>
      <xdr:row>95</xdr:row>
      <xdr:rowOff>0</xdr:rowOff>
    </xdr:from>
    <xdr:to>
      <xdr:col>40</xdr:col>
      <xdr:colOff>495300</xdr:colOff>
      <xdr:row>98</xdr:row>
      <xdr:rowOff>152400</xdr:rowOff>
    </xdr:to>
    <xdr:sp macro="" textlink="">
      <xdr:nvSpPr>
        <xdr:cNvPr id="150" name="Oval 149">
          <a:extLst>
            <a:ext uri="{FF2B5EF4-FFF2-40B4-BE49-F238E27FC236}">
              <a16:creationId xmlns:a16="http://schemas.microsoft.com/office/drawing/2014/main" id="{00000000-0008-0000-0200-000096000000}"/>
            </a:ext>
          </a:extLst>
        </xdr:cNvPr>
        <xdr:cNvSpPr/>
      </xdr:nvSpPr>
      <xdr:spPr>
        <a:xfrm>
          <a:off x="24269700" y="18249900"/>
          <a:ext cx="609600" cy="7239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Kulm Park"/>
            </a:rPr>
            <a:t>4</a:t>
          </a:r>
        </a:p>
      </xdr:txBody>
    </xdr:sp>
    <xdr:clientData/>
  </xdr:twoCellAnchor>
  <xdr:twoCellAnchor>
    <xdr:from>
      <xdr:col>47</xdr:col>
      <xdr:colOff>38100</xdr:colOff>
      <xdr:row>5</xdr:row>
      <xdr:rowOff>38100</xdr:rowOff>
    </xdr:from>
    <xdr:to>
      <xdr:col>47</xdr:col>
      <xdr:colOff>76200</xdr:colOff>
      <xdr:row>103</xdr:row>
      <xdr:rowOff>114300</xdr:rowOff>
    </xdr:to>
    <xdr:cxnSp macro="">
      <xdr:nvCxnSpPr>
        <xdr:cNvPr id="12" name="Straight Connector 11">
          <a:extLst>
            <a:ext uri="{FF2B5EF4-FFF2-40B4-BE49-F238E27FC236}">
              <a16:creationId xmlns:a16="http://schemas.microsoft.com/office/drawing/2014/main" id="{00000000-0008-0000-0200-00000C000000}"/>
            </a:ext>
          </a:extLst>
        </xdr:cNvPr>
        <xdr:cNvCxnSpPr/>
      </xdr:nvCxnSpPr>
      <xdr:spPr>
        <a:xfrm>
          <a:off x="28689300" y="990600"/>
          <a:ext cx="38100" cy="18897600"/>
        </a:xfrm>
        <a:prstGeom prst="line">
          <a:avLst/>
        </a:prstGeom>
        <a:ln>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152400</xdr:colOff>
      <xdr:row>5</xdr:row>
      <xdr:rowOff>114300</xdr:rowOff>
    </xdr:from>
    <xdr:to>
      <xdr:col>56</xdr:col>
      <xdr:colOff>457200</xdr:colOff>
      <xdr:row>67</xdr:row>
      <xdr:rowOff>114300</xdr:rowOff>
    </xdr:to>
    <xdr:sp macro="" textlink="">
      <xdr:nvSpPr>
        <xdr:cNvPr id="156" name="Rounded Rectangle 155">
          <a:extLst>
            <a:ext uri="{FF2B5EF4-FFF2-40B4-BE49-F238E27FC236}">
              <a16:creationId xmlns:a16="http://schemas.microsoft.com/office/drawing/2014/main" id="{00000000-0008-0000-0200-00009C000000}"/>
            </a:ext>
          </a:extLst>
        </xdr:cNvPr>
        <xdr:cNvSpPr/>
      </xdr:nvSpPr>
      <xdr:spPr>
        <a:xfrm>
          <a:off x="28803600" y="1066800"/>
          <a:ext cx="5791200" cy="11963400"/>
        </a:xfrm>
        <a:prstGeom prst="round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228600</xdr:colOff>
      <xdr:row>13</xdr:row>
      <xdr:rowOff>152400</xdr:rowOff>
    </xdr:from>
    <xdr:to>
      <xdr:col>56</xdr:col>
      <xdr:colOff>342900</xdr:colOff>
      <xdr:row>54</xdr:row>
      <xdr:rowOff>152400</xdr:rowOff>
    </xdr:to>
    <xdr:graphicFrame macro="">
      <xdr:nvGraphicFramePr>
        <xdr:cNvPr id="91" name="Chart 90">
          <a:extLst>
            <a:ext uri="{FF2B5EF4-FFF2-40B4-BE49-F238E27FC236}">
              <a16:creationId xmlns:a16="http://schemas.microsoft.com/office/drawing/2014/main" id="{00000000-0008-0000-02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342900</xdr:colOff>
      <xdr:row>13</xdr:row>
      <xdr:rowOff>76200</xdr:rowOff>
    </xdr:from>
    <xdr:to>
      <xdr:col>56</xdr:col>
      <xdr:colOff>419100</xdr:colOff>
      <xdr:row>13</xdr:row>
      <xdr:rowOff>114300</xdr:rowOff>
    </xdr:to>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flipV="1">
          <a:off x="28994100" y="2552700"/>
          <a:ext cx="5562600" cy="381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304800</xdr:colOff>
      <xdr:row>9</xdr:row>
      <xdr:rowOff>38100</xdr:rowOff>
    </xdr:from>
    <xdr:to>
      <xdr:col>49</xdr:col>
      <xdr:colOff>152400</xdr:colOff>
      <xdr:row>11</xdr:row>
      <xdr:rowOff>114300</xdr:rowOff>
    </xdr:to>
    <xdr:sp macro="" textlink="">
      <xdr:nvSpPr>
        <xdr:cNvPr id="17" name="Oval 16">
          <a:extLst>
            <a:ext uri="{FF2B5EF4-FFF2-40B4-BE49-F238E27FC236}">
              <a16:creationId xmlns:a16="http://schemas.microsoft.com/office/drawing/2014/main" id="{00000000-0008-0000-0200-000011000000}"/>
            </a:ext>
          </a:extLst>
        </xdr:cNvPr>
        <xdr:cNvSpPr/>
      </xdr:nvSpPr>
      <xdr:spPr>
        <a:xfrm>
          <a:off x="29565600" y="1752600"/>
          <a:ext cx="457200" cy="4572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3">
                <a:lumMod val="60000"/>
                <a:lumOff val="40000"/>
              </a:schemeClr>
            </a:solidFill>
          </a:endParaRPr>
        </a:p>
      </xdr:txBody>
    </xdr:sp>
    <xdr:clientData/>
  </xdr:twoCellAnchor>
  <xdr:twoCellAnchor>
    <xdr:from>
      <xdr:col>50</xdr:col>
      <xdr:colOff>38100</xdr:colOff>
      <xdr:row>8</xdr:row>
      <xdr:rowOff>152400</xdr:rowOff>
    </xdr:from>
    <xdr:to>
      <xdr:col>55</xdr:col>
      <xdr:colOff>190500</xdr:colOff>
      <xdr:row>12</xdr:row>
      <xdr:rowOff>114300</xdr:rowOff>
    </xdr:to>
    <xdr:sp macro="" textlink="">
      <xdr:nvSpPr>
        <xdr:cNvPr id="100" name="TextBox 99">
          <a:extLst>
            <a:ext uri="{FF2B5EF4-FFF2-40B4-BE49-F238E27FC236}">
              <a16:creationId xmlns:a16="http://schemas.microsoft.com/office/drawing/2014/main" id="{00000000-0008-0000-0200-000064000000}"/>
            </a:ext>
          </a:extLst>
        </xdr:cNvPr>
        <xdr:cNvSpPr txBox="1"/>
      </xdr:nvSpPr>
      <xdr:spPr>
        <a:xfrm rot="10800000" flipH="1" flipV="1">
          <a:off x="30518100" y="1676400"/>
          <a:ext cx="3200400" cy="723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latin typeface="Kulm Park"/>
            </a:rPr>
            <a:t>Order Status</a:t>
          </a:r>
          <a:endParaRPr lang="en-US" sz="3200" b="1">
            <a:latin typeface="Kulm Park"/>
          </a:endParaRPr>
        </a:p>
      </xdr:txBody>
    </xdr:sp>
    <xdr:clientData/>
  </xdr:twoCellAnchor>
  <xdr:twoCellAnchor>
    <xdr:from>
      <xdr:col>8</xdr:col>
      <xdr:colOff>38100</xdr:colOff>
      <xdr:row>6</xdr:row>
      <xdr:rowOff>76200</xdr:rowOff>
    </xdr:from>
    <xdr:to>
      <xdr:col>13</xdr:col>
      <xdr:colOff>533400</xdr:colOff>
      <xdr:row>9</xdr:row>
      <xdr:rowOff>152400</xdr:rowOff>
    </xdr:to>
    <xdr:sp macro="" textlink="">
      <xdr:nvSpPr>
        <xdr:cNvPr id="101" name="TextBox 100">
          <a:extLst>
            <a:ext uri="{FF2B5EF4-FFF2-40B4-BE49-F238E27FC236}">
              <a16:creationId xmlns:a16="http://schemas.microsoft.com/office/drawing/2014/main" id="{00000000-0008-0000-0200-000065000000}"/>
            </a:ext>
          </a:extLst>
        </xdr:cNvPr>
        <xdr:cNvSpPr txBox="1"/>
      </xdr:nvSpPr>
      <xdr:spPr>
        <a:xfrm rot="10800000" flipH="1" flipV="1">
          <a:off x="4914900" y="1219200"/>
          <a:ext cx="3543300"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baseline="0">
              <a:latin typeface="Kulm Park"/>
            </a:rPr>
            <a:t>DASHBOARD</a:t>
          </a:r>
          <a:endParaRPr lang="en-US" sz="4000" b="1">
            <a:latin typeface="Kulm Park"/>
          </a:endParaRPr>
        </a:p>
      </xdr:txBody>
    </xdr:sp>
    <xdr:clientData/>
  </xdr:twoCellAnchor>
  <xdr:twoCellAnchor>
    <xdr:from>
      <xdr:col>48</xdr:col>
      <xdr:colOff>419100</xdr:colOff>
      <xdr:row>56</xdr:row>
      <xdr:rowOff>38100</xdr:rowOff>
    </xdr:from>
    <xdr:to>
      <xdr:col>55</xdr:col>
      <xdr:colOff>571500</xdr:colOff>
      <xdr:row>63</xdr:row>
      <xdr:rowOff>114300</xdr:rowOff>
    </xdr:to>
    <xdr:sp macro="" textlink="">
      <xdr:nvSpPr>
        <xdr:cNvPr id="102" name="TextBox 101">
          <a:extLst>
            <a:ext uri="{FF2B5EF4-FFF2-40B4-BE49-F238E27FC236}">
              <a16:creationId xmlns:a16="http://schemas.microsoft.com/office/drawing/2014/main" id="{00000000-0008-0000-0200-000066000000}"/>
            </a:ext>
          </a:extLst>
        </xdr:cNvPr>
        <xdr:cNvSpPr txBox="1"/>
      </xdr:nvSpPr>
      <xdr:spPr>
        <a:xfrm rot="10800000" flipH="1" flipV="1">
          <a:off x="29679900" y="10858500"/>
          <a:ext cx="4419600" cy="1409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solidFill>
                <a:schemeClr val="tx1">
                  <a:lumMod val="75000"/>
                  <a:lumOff val="25000"/>
                </a:schemeClr>
              </a:solidFill>
              <a:latin typeface="Kulm Park"/>
            </a:rPr>
            <a:t>Percentage of Order based on Status</a:t>
          </a:r>
        </a:p>
      </xdr:txBody>
    </xdr:sp>
    <xdr:clientData/>
  </xdr:twoCellAnchor>
  <xdr:twoCellAnchor>
    <xdr:from>
      <xdr:col>47</xdr:col>
      <xdr:colOff>266700</xdr:colOff>
      <xdr:row>63</xdr:row>
      <xdr:rowOff>38100</xdr:rowOff>
    </xdr:from>
    <xdr:to>
      <xdr:col>56</xdr:col>
      <xdr:colOff>342900</xdr:colOff>
      <xdr:row>63</xdr:row>
      <xdr:rowOff>76200</xdr:rowOff>
    </xdr:to>
    <xdr:cxnSp macro="">
      <xdr:nvCxnSpPr>
        <xdr:cNvPr id="105" name="Straight Connector 104">
          <a:extLst>
            <a:ext uri="{FF2B5EF4-FFF2-40B4-BE49-F238E27FC236}">
              <a16:creationId xmlns:a16="http://schemas.microsoft.com/office/drawing/2014/main" id="{00000000-0008-0000-0200-000069000000}"/>
            </a:ext>
          </a:extLst>
        </xdr:cNvPr>
        <xdr:cNvCxnSpPr/>
      </xdr:nvCxnSpPr>
      <xdr:spPr>
        <a:xfrm flipV="1">
          <a:off x="28917900" y="12192000"/>
          <a:ext cx="5562600" cy="381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266700</xdr:colOff>
      <xdr:row>70</xdr:row>
      <xdr:rowOff>0</xdr:rowOff>
    </xdr:from>
    <xdr:to>
      <xdr:col>56</xdr:col>
      <xdr:colOff>342900</xdr:colOff>
      <xdr:row>101</xdr:row>
      <xdr:rowOff>152400</xdr:rowOff>
    </xdr:to>
    <xdr:sp macro="" textlink="">
      <xdr:nvSpPr>
        <xdr:cNvPr id="106" name="Rounded Rectangle 105">
          <a:extLst>
            <a:ext uri="{FF2B5EF4-FFF2-40B4-BE49-F238E27FC236}">
              <a16:creationId xmlns:a16="http://schemas.microsoft.com/office/drawing/2014/main" id="{00000000-0008-0000-0200-00006A000000}"/>
            </a:ext>
          </a:extLst>
        </xdr:cNvPr>
        <xdr:cNvSpPr/>
      </xdr:nvSpPr>
      <xdr:spPr>
        <a:xfrm>
          <a:off x="28917900" y="13487400"/>
          <a:ext cx="5562600" cy="6057900"/>
        </a:xfrm>
        <a:prstGeom prst="roundRect">
          <a:avLst/>
        </a:prstGeom>
        <a:solidFill>
          <a:schemeClr val="bg1">
            <a:lumMod val="7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304800</xdr:colOff>
      <xdr:row>12</xdr:row>
      <xdr:rowOff>152400</xdr:rowOff>
    </xdr:from>
    <xdr:to>
      <xdr:col>56</xdr:col>
      <xdr:colOff>266700</xdr:colOff>
      <xdr:row>13</xdr:row>
      <xdr:rowOff>0</xdr:rowOff>
    </xdr:to>
    <xdr:cxnSp macro="">
      <xdr:nvCxnSpPr>
        <xdr:cNvPr id="123" name="Straight Connector 122">
          <a:extLst>
            <a:ext uri="{FF2B5EF4-FFF2-40B4-BE49-F238E27FC236}">
              <a16:creationId xmlns:a16="http://schemas.microsoft.com/office/drawing/2014/main" id="{00000000-0008-0000-0200-00007B000000}"/>
            </a:ext>
          </a:extLst>
        </xdr:cNvPr>
        <xdr:cNvCxnSpPr/>
      </xdr:nvCxnSpPr>
      <xdr:spPr>
        <a:xfrm>
          <a:off x="28956000" y="2438400"/>
          <a:ext cx="5448300" cy="381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76200</xdr:colOff>
      <xdr:row>72</xdr:row>
      <xdr:rowOff>114300</xdr:rowOff>
    </xdr:from>
    <xdr:to>
      <xdr:col>48</xdr:col>
      <xdr:colOff>533400</xdr:colOff>
      <xdr:row>75</xdr:row>
      <xdr:rowOff>0</xdr:rowOff>
    </xdr:to>
    <xdr:sp macro="" textlink="">
      <xdr:nvSpPr>
        <xdr:cNvPr id="124" name="Oval 123">
          <a:extLst>
            <a:ext uri="{FF2B5EF4-FFF2-40B4-BE49-F238E27FC236}">
              <a16:creationId xmlns:a16="http://schemas.microsoft.com/office/drawing/2014/main" id="{00000000-0008-0000-0200-00007C000000}"/>
            </a:ext>
          </a:extLst>
        </xdr:cNvPr>
        <xdr:cNvSpPr/>
      </xdr:nvSpPr>
      <xdr:spPr>
        <a:xfrm>
          <a:off x="29337000" y="13982700"/>
          <a:ext cx="457200" cy="457200"/>
        </a:xfrm>
        <a:prstGeom prst="ellipse">
          <a:avLst/>
        </a:prstGeom>
        <a:solidFill>
          <a:srgbClr val="C0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3">
                <a:lumMod val="60000"/>
                <a:lumOff val="40000"/>
              </a:schemeClr>
            </a:solidFill>
          </a:endParaRPr>
        </a:p>
      </xdr:txBody>
    </xdr:sp>
    <xdr:clientData/>
  </xdr:twoCellAnchor>
  <xdr:twoCellAnchor>
    <xdr:from>
      <xdr:col>47</xdr:col>
      <xdr:colOff>495300</xdr:colOff>
      <xdr:row>76</xdr:row>
      <xdr:rowOff>152400</xdr:rowOff>
    </xdr:from>
    <xdr:to>
      <xdr:col>55</xdr:col>
      <xdr:colOff>0</xdr:colOff>
      <xdr:row>85</xdr:row>
      <xdr:rowOff>114300</xdr:rowOff>
    </xdr:to>
    <xdr:sp macro="" textlink="">
      <xdr:nvSpPr>
        <xdr:cNvPr id="125" name="TextBox 124">
          <a:extLst>
            <a:ext uri="{FF2B5EF4-FFF2-40B4-BE49-F238E27FC236}">
              <a16:creationId xmlns:a16="http://schemas.microsoft.com/office/drawing/2014/main" id="{00000000-0008-0000-0200-00007D000000}"/>
            </a:ext>
          </a:extLst>
        </xdr:cNvPr>
        <xdr:cNvSpPr txBox="1"/>
      </xdr:nvSpPr>
      <xdr:spPr>
        <a:xfrm rot="10800000" flipH="1" flipV="1">
          <a:off x="29146500" y="14782800"/>
          <a:ext cx="4381500" cy="167640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baseline="0">
              <a:solidFill>
                <a:srgbClr val="002060"/>
              </a:solidFill>
              <a:latin typeface="Kulm Park"/>
            </a:rPr>
            <a:t>Quantity</a:t>
          </a:r>
          <a:r>
            <a:rPr lang="en-US" sz="5400" b="1" baseline="0">
              <a:solidFill>
                <a:srgbClr val="002060"/>
              </a:solidFill>
              <a:latin typeface="Kulm Park"/>
            </a:rPr>
            <a:t> of units Sold</a:t>
          </a:r>
          <a:endParaRPr lang="en-US" sz="5400" b="1">
            <a:solidFill>
              <a:srgbClr val="002060"/>
            </a:solidFill>
            <a:latin typeface="Kulm Park"/>
          </a:endParaRPr>
        </a:p>
      </xdr:txBody>
    </xdr:sp>
    <xdr:clientData/>
  </xdr:twoCellAnchor>
  <xdr:twoCellAnchor>
    <xdr:from>
      <xdr:col>49</xdr:col>
      <xdr:colOff>38100</xdr:colOff>
      <xdr:row>72</xdr:row>
      <xdr:rowOff>38100</xdr:rowOff>
    </xdr:from>
    <xdr:to>
      <xdr:col>52</xdr:col>
      <xdr:colOff>457200</xdr:colOff>
      <xdr:row>75</xdr:row>
      <xdr:rowOff>76200</xdr:rowOff>
    </xdr:to>
    <xdr:sp macro="" textlink="">
      <xdr:nvSpPr>
        <xdr:cNvPr id="130" name="TextBox 129">
          <a:extLst>
            <a:ext uri="{FF2B5EF4-FFF2-40B4-BE49-F238E27FC236}">
              <a16:creationId xmlns:a16="http://schemas.microsoft.com/office/drawing/2014/main" id="{00000000-0008-0000-0200-000082000000}"/>
            </a:ext>
          </a:extLst>
        </xdr:cNvPr>
        <xdr:cNvSpPr txBox="1"/>
      </xdr:nvSpPr>
      <xdr:spPr>
        <a:xfrm rot="10800000" flipH="1" flipV="1">
          <a:off x="29908500" y="13906500"/>
          <a:ext cx="2247900" cy="60960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solidFill>
                <a:srgbClr val="002060"/>
              </a:solidFill>
              <a:latin typeface="Kulm Park"/>
            </a:rPr>
            <a:t>OnTime</a:t>
          </a:r>
          <a:endParaRPr lang="en-US" sz="3200" b="1">
            <a:solidFill>
              <a:srgbClr val="002060"/>
            </a:solidFill>
            <a:latin typeface="Kulm Park"/>
          </a:endParaRPr>
        </a:p>
      </xdr:txBody>
    </xdr:sp>
    <xdr:clientData/>
  </xdr:twoCellAnchor>
  <xdr:twoCellAnchor>
    <xdr:from>
      <xdr:col>47</xdr:col>
      <xdr:colOff>533400</xdr:colOff>
      <xdr:row>87</xdr:row>
      <xdr:rowOff>0</xdr:rowOff>
    </xdr:from>
    <xdr:to>
      <xdr:col>56</xdr:col>
      <xdr:colOff>266700</xdr:colOff>
      <xdr:row>94</xdr:row>
      <xdr:rowOff>76200</xdr:rowOff>
    </xdr:to>
    <xdr:sp macro="" textlink="">
      <xdr:nvSpPr>
        <xdr:cNvPr id="131" name="TextBox 130">
          <a:extLst>
            <a:ext uri="{FF2B5EF4-FFF2-40B4-BE49-F238E27FC236}">
              <a16:creationId xmlns:a16="http://schemas.microsoft.com/office/drawing/2014/main" id="{00000000-0008-0000-0200-000083000000}"/>
            </a:ext>
          </a:extLst>
        </xdr:cNvPr>
        <xdr:cNvSpPr txBox="1"/>
      </xdr:nvSpPr>
      <xdr:spPr>
        <a:xfrm rot="10800000" flipH="1" flipV="1">
          <a:off x="29184600" y="16725900"/>
          <a:ext cx="5219700" cy="140970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solidFill>
                <a:srgbClr val="002060"/>
              </a:solidFill>
              <a:latin typeface="Kulm Park"/>
            </a:rPr>
            <a:t>Overall  Ontime Quantity sold across all regons</a:t>
          </a:r>
          <a:endParaRPr lang="en-US" sz="3200" b="1">
            <a:solidFill>
              <a:srgbClr val="002060"/>
            </a:solidFill>
            <a:latin typeface="Kulm Park"/>
          </a:endParaRPr>
        </a:p>
      </xdr:txBody>
    </xdr:sp>
    <xdr:clientData/>
  </xdr:twoCellAnchor>
  <xdr:twoCellAnchor>
    <xdr:from>
      <xdr:col>48</xdr:col>
      <xdr:colOff>495300</xdr:colOff>
      <xdr:row>92</xdr:row>
      <xdr:rowOff>114300</xdr:rowOff>
    </xdr:from>
    <xdr:to>
      <xdr:col>54</xdr:col>
      <xdr:colOff>152400</xdr:colOff>
      <xdr:row>101</xdr:row>
      <xdr:rowOff>38100</xdr:rowOff>
    </xdr:to>
    <xdr:sp macro="" textlink="'pivot table'!V12">
      <xdr:nvSpPr>
        <xdr:cNvPr id="132" name="TextBox 131">
          <a:extLst>
            <a:ext uri="{FF2B5EF4-FFF2-40B4-BE49-F238E27FC236}">
              <a16:creationId xmlns:a16="http://schemas.microsoft.com/office/drawing/2014/main" id="{00000000-0008-0000-0200-000084000000}"/>
            </a:ext>
          </a:extLst>
        </xdr:cNvPr>
        <xdr:cNvSpPr txBox="1"/>
      </xdr:nvSpPr>
      <xdr:spPr>
        <a:xfrm>
          <a:off x="29756100" y="17792700"/>
          <a:ext cx="3314700"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C09C5C8-1054-4E37-A202-232BAE175926}" type="TxLink">
            <a:rPr lang="en-US" sz="13800">
              <a:solidFill>
                <a:srgbClr val="002060"/>
              </a:solidFill>
              <a:latin typeface="KuLm Park"/>
            </a:rPr>
            <a:pPr/>
            <a:t>800</a:t>
          </a:fld>
          <a:endParaRPr lang="en-US" sz="13800">
            <a:solidFill>
              <a:srgbClr val="002060"/>
            </a:solidFill>
            <a:latin typeface="KuLm Park"/>
          </a:endParaRPr>
        </a:p>
      </xdr:txBody>
    </xdr:sp>
    <xdr:clientData/>
  </xdr:twoCellAnchor>
  <xdr:twoCellAnchor>
    <xdr:from>
      <xdr:col>8</xdr:col>
      <xdr:colOff>38100</xdr:colOff>
      <xdr:row>10</xdr:row>
      <xdr:rowOff>0</xdr:rowOff>
    </xdr:from>
    <xdr:to>
      <xdr:col>22</xdr:col>
      <xdr:colOff>571500</xdr:colOff>
      <xdr:row>13</xdr:row>
      <xdr:rowOff>0</xdr:rowOff>
    </xdr:to>
    <xdr:sp macro="" textlink="">
      <xdr:nvSpPr>
        <xdr:cNvPr id="138" name="TextBox 137">
          <a:extLst>
            <a:ext uri="{FF2B5EF4-FFF2-40B4-BE49-F238E27FC236}">
              <a16:creationId xmlns:a16="http://schemas.microsoft.com/office/drawing/2014/main" id="{00000000-0008-0000-0200-00008A000000}"/>
            </a:ext>
          </a:extLst>
        </xdr:cNvPr>
        <xdr:cNvSpPr txBox="1"/>
      </xdr:nvSpPr>
      <xdr:spPr>
        <a:xfrm rot="10800000" flipH="1" flipV="1">
          <a:off x="4914900" y="1905000"/>
          <a:ext cx="90678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solidFill>
                <a:schemeClr val="tx1">
                  <a:lumMod val="50000"/>
                  <a:lumOff val="50000"/>
                </a:schemeClr>
              </a:solidFill>
              <a:latin typeface="Kulm Park"/>
            </a:rPr>
            <a:t>A way to manage the sales department</a:t>
          </a:r>
          <a:endParaRPr lang="en-US" sz="3200" b="1">
            <a:solidFill>
              <a:schemeClr val="tx1">
                <a:lumMod val="50000"/>
                <a:lumOff val="50000"/>
              </a:schemeClr>
            </a:solidFill>
            <a:latin typeface="Kulm Park"/>
          </a:endParaRPr>
        </a:p>
      </xdr:txBody>
    </xdr:sp>
    <xdr:clientData/>
  </xdr:twoCellAnchor>
  <xdr:twoCellAnchor>
    <xdr:from>
      <xdr:col>50</xdr:col>
      <xdr:colOff>152400</xdr:colOff>
      <xdr:row>1</xdr:row>
      <xdr:rowOff>152400</xdr:rowOff>
    </xdr:from>
    <xdr:to>
      <xdr:col>55</xdr:col>
      <xdr:colOff>0</xdr:colOff>
      <xdr:row>4</xdr:row>
      <xdr:rowOff>152400</xdr:rowOff>
    </xdr:to>
    <xdr:sp macro="" textlink="">
      <xdr:nvSpPr>
        <xdr:cNvPr id="139" name="TextBox 138">
          <a:hlinkClick xmlns:r="http://schemas.openxmlformats.org/officeDocument/2006/relationships" r:id="rId4"/>
          <a:extLst>
            <a:ext uri="{FF2B5EF4-FFF2-40B4-BE49-F238E27FC236}">
              <a16:creationId xmlns:a16="http://schemas.microsoft.com/office/drawing/2014/main" id="{00000000-0008-0000-0200-00008B000000}"/>
            </a:ext>
          </a:extLst>
        </xdr:cNvPr>
        <xdr:cNvSpPr txBox="1"/>
      </xdr:nvSpPr>
      <xdr:spPr>
        <a:xfrm rot="10800000" flipH="1" flipV="1">
          <a:off x="30632400" y="342900"/>
          <a:ext cx="28956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latin typeface="Kulm Park"/>
            </a:rPr>
            <a:t>Table of Data</a:t>
          </a:r>
          <a:endParaRPr lang="en-US" sz="3200" b="1">
            <a:latin typeface="Kulm Park"/>
          </a:endParaRPr>
        </a:p>
      </xdr:txBody>
    </xdr:sp>
    <xdr:clientData/>
  </xdr:twoCellAnchor>
  <xdr:twoCellAnchor>
    <xdr:from>
      <xdr:col>50</xdr:col>
      <xdr:colOff>0</xdr:colOff>
      <xdr:row>1</xdr:row>
      <xdr:rowOff>114300</xdr:rowOff>
    </xdr:from>
    <xdr:to>
      <xdr:col>55</xdr:col>
      <xdr:colOff>381000</xdr:colOff>
      <xdr:row>5</xdr:row>
      <xdr:rowOff>38100</xdr:rowOff>
    </xdr:to>
    <xdr:sp macro="" textlink="">
      <xdr:nvSpPr>
        <xdr:cNvPr id="33" name="Rounded Rectangle 32">
          <a:extLst>
            <a:ext uri="{FF2B5EF4-FFF2-40B4-BE49-F238E27FC236}">
              <a16:creationId xmlns:a16="http://schemas.microsoft.com/office/drawing/2014/main" id="{00000000-0008-0000-0200-000021000000}"/>
            </a:ext>
          </a:extLst>
        </xdr:cNvPr>
        <xdr:cNvSpPr/>
      </xdr:nvSpPr>
      <xdr:spPr>
        <a:xfrm>
          <a:off x="30480000" y="304800"/>
          <a:ext cx="3429000" cy="6858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54</xdr:col>
      <xdr:colOff>419100</xdr:colOff>
      <xdr:row>1</xdr:row>
      <xdr:rowOff>152400</xdr:rowOff>
    </xdr:from>
    <xdr:to>
      <xdr:col>55</xdr:col>
      <xdr:colOff>304800</xdr:colOff>
      <xdr:row>4</xdr:row>
      <xdr:rowOff>152400</xdr:rowOff>
    </xdr:to>
    <xdr:sp macro="" textlink="">
      <xdr:nvSpPr>
        <xdr:cNvPr id="37" name="Oval 36">
          <a:extLst>
            <a:ext uri="{FF2B5EF4-FFF2-40B4-BE49-F238E27FC236}">
              <a16:creationId xmlns:a16="http://schemas.microsoft.com/office/drawing/2014/main" id="{00000000-0008-0000-0200-000025000000}"/>
            </a:ext>
          </a:extLst>
        </xdr:cNvPr>
        <xdr:cNvSpPr/>
      </xdr:nvSpPr>
      <xdr:spPr>
        <a:xfrm>
          <a:off x="33337500" y="342900"/>
          <a:ext cx="495300" cy="5715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&gt;</a:t>
          </a:r>
        </a:p>
      </xdr:txBody>
    </xdr:sp>
    <xdr:clientData/>
  </xdr:twoCellAnchor>
  <xdr:twoCellAnchor>
    <xdr:from>
      <xdr:col>0</xdr:col>
      <xdr:colOff>152400</xdr:colOff>
      <xdr:row>6</xdr:row>
      <xdr:rowOff>0</xdr:rowOff>
    </xdr:from>
    <xdr:to>
      <xdr:col>3</xdr:col>
      <xdr:colOff>114300</xdr:colOff>
      <xdr:row>9</xdr:row>
      <xdr:rowOff>38100</xdr:rowOff>
    </xdr:to>
    <xdr:sp macro="" textlink="">
      <xdr:nvSpPr>
        <xdr:cNvPr id="151" name="TextBox 150">
          <a:extLst>
            <a:ext uri="{FF2B5EF4-FFF2-40B4-BE49-F238E27FC236}">
              <a16:creationId xmlns:a16="http://schemas.microsoft.com/office/drawing/2014/main" id="{00000000-0008-0000-0200-000097000000}"/>
            </a:ext>
          </a:extLst>
        </xdr:cNvPr>
        <xdr:cNvSpPr txBox="1"/>
      </xdr:nvSpPr>
      <xdr:spPr>
        <a:xfrm rot="10800000" flipH="1" flipV="1">
          <a:off x="152400" y="1143000"/>
          <a:ext cx="17907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baseline="0">
              <a:solidFill>
                <a:schemeClr val="bg1"/>
              </a:solidFill>
              <a:latin typeface="Arial" panose="020B0604020202020204" pitchFamily="34" charset="0"/>
              <a:cs typeface="Arial" panose="020B0604020202020204" pitchFamily="34" charset="0"/>
            </a:rPr>
            <a:t>MENU</a:t>
          </a:r>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114300</xdr:rowOff>
    </xdr:from>
    <xdr:to>
      <xdr:col>6</xdr:col>
      <xdr:colOff>114300</xdr:colOff>
      <xdr:row>0</xdr:row>
      <xdr:rowOff>114300</xdr:rowOff>
    </xdr:to>
    <xdr:cxnSp macro="">
      <xdr:nvCxnSpPr>
        <xdr:cNvPr id="170" name="Straight Connector 169">
          <a:extLst>
            <a:ext uri="{FF2B5EF4-FFF2-40B4-BE49-F238E27FC236}">
              <a16:creationId xmlns:a16="http://schemas.microsoft.com/office/drawing/2014/main" id="{00000000-0008-0000-0200-0000AA000000}"/>
            </a:ext>
          </a:extLst>
        </xdr:cNvPr>
        <xdr:cNvCxnSpPr/>
      </xdr:nvCxnSpPr>
      <xdr:spPr>
        <a:xfrm>
          <a:off x="0" y="114300"/>
          <a:ext cx="377190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114300</xdr:rowOff>
    </xdr:from>
    <xdr:to>
      <xdr:col>6</xdr:col>
      <xdr:colOff>342900</xdr:colOff>
      <xdr:row>0</xdr:row>
      <xdr:rowOff>152400</xdr:rowOff>
    </xdr:to>
    <xdr:cxnSp macro="">
      <xdr:nvCxnSpPr>
        <xdr:cNvPr id="171" name="Straight Connector 170">
          <a:extLst>
            <a:ext uri="{FF2B5EF4-FFF2-40B4-BE49-F238E27FC236}">
              <a16:creationId xmlns:a16="http://schemas.microsoft.com/office/drawing/2014/main" id="{00000000-0008-0000-0200-0000AB000000}"/>
            </a:ext>
          </a:extLst>
        </xdr:cNvPr>
        <xdr:cNvCxnSpPr/>
      </xdr:nvCxnSpPr>
      <xdr:spPr>
        <a:xfrm flipV="1">
          <a:off x="0" y="114300"/>
          <a:ext cx="4000500" cy="381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304800</xdr:colOff>
      <xdr:row>10</xdr:row>
      <xdr:rowOff>0</xdr:rowOff>
    </xdr:from>
    <xdr:to>
      <xdr:col>100</xdr:col>
      <xdr:colOff>571500</xdr:colOff>
      <xdr:row>36</xdr:row>
      <xdr:rowOff>114300</xdr:rowOff>
    </xdr:to>
    <xdr:sp macro="" textlink="">
      <xdr:nvSpPr>
        <xdr:cNvPr id="204" name="TextBox 203">
          <a:extLst>
            <a:ext uri="{FF2B5EF4-FFF2-40B4-BE49-F238E27FC236}">
              <a16:creationId xmlns:a16="http://schemas.microsoft.com/office/drawing/2014/main" id="{00000000-0008-0000-0200-0000CC000000}"/>
            </a:ext>
          </a:extLst>
        </xdr:cNvPr>
        <xdr:cNvSpPr txBox="1"/>
      </xdr:nvSpPr>
      <xdr:spPr>
        <a:xfrm>
          <a:off x="51511200" y="1905000"/>
          <a:ext cx="1002030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a:latin typeface="KuLm Park"/>
            </a:rPr>
            <a:t>        GROUP 5 NAMES</a:t>
          </a:r>
        </a:p>
      </xdr:txBody>
    </xdr:sp>
    <xdr:clientData/>
  </xdr:twoCellAnchor>
  <xdr:twoCellAnchor editAs="oneCell">
    <xdr:from>
      <xdr:col>0</xdr:col>
      <xdr:colOff>114300</xdr:colOff>
      <xdr:row>14</xdr:row>
      <xdr:rowOff>152400</xdr:rowOff>
    </xdr:from>
    <xdr:to>
      <xdr:col>7</xdr:col>
      <xdr:colOff>0</xdr:colOff>
      <xdr:row>34</xdr:row>
      <xdr:rowOff>38100</xdr:rowOff>
    </xdr:to>
    <mc:AlternateContent xmlns:mc="http://schemas.openxmlformats.org/markup-compatibility/2006">
      <mc:Choice xmlns:a14="http://schemas.microsoft.com/office/drawing/2010/main" Requires="a14">
        <xdr:graphicFrame macro="">
          <xdr:nvGraphicFramePr>
            <xdr:cNvPr id="7" name="Customer Type">
              <a:extLst>
                <a:ext uri="{FF2B5EF4-FFF2-40B4-BE49-F238E27FC236}">
                  <a16:creationId xmlns:a16="http://schemas.microsoft.com/office/drawing/2014/main" id="{B288A307-2B38-4E7D-958E-2637DE765A7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14300" y="2819400"/>
              <a:ext cx="4152900" cy="369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38100</xdr:rowOff>
    </xdr:from>
    <xdr:to>
      <xdr:col>7</xdr:col>
      <xdr:colOff>114300</xdr:colOff>
      <xdr:row>59</xdr:row>
      <xdr:rowOff>76200</xdr:rowOff>
    </xdr:to>
    <mc:AlternateContent xmlns:mc="http://schemas.openxmlformats.org/markup-compatibility/2006">
      <mc:Choice xmlns:a14="http://schemas.microsoft.com/office/drawing/2010/main" Requires="a14">
        <xdr:graphicFrame macro="">
          <xdr:nvGraphicFramePr>
            <xdr:cNvPr id="13" name="Payment Method">
              <a:extLst>
                <a:ext uri="{FF2B5EF4-FFF2-40B4-BE49-F238E27FC236}">
                  <a16:creationId xmlns:a16="http://schemas.microsoft.com/office/drawing/2014/main" id="{0B76EDF1-23E1-430A-8CE6-A350E44BC63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0" y="7848600"/>
              <a:ext cx="4381500" cy="369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69</xdr:row>
      <xdr:rowOff>76200</xdr:rowOff>
    </xdr:from>
    <xdr:to>
      <xdr:col>6</xdr:col>
      <xdr:colOff>571500</xdr:colOff>
      <xdr:row>93</xdr:row>
      <xdr:rowOff>76200</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ADFE6441-A68F-417F-8E90-ECF67F7071E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13449300"/>
              <a:ext cx="4152900" cy="457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9</xdr:row>
      <xdr:rowOff>38100</xdr:rowOff>
    </xdr:from>
    <xdr:to>
      <xdr:col>7</xdr:col>
      <xdr:colOff>152400</xdr:colOff>
      <xdr:row>12</xdr:row>
      <xdr:rowOff>152400</xdr:rowOff>
    </xdr:to>
    <xdr:sp macro="" textlink="">
      <xdr:nvSpPr>
        <xdr:cNvPr id="16" name="TextBox 15">
          <a:extLst>
            <a:ext uri="{FF2B5EF4-FFF2-40B4-BE49-F238E27FC236}">
              <a16:creationId xmlns:a16="http://schemas.microsoft.com/office/drawing/2014/main" id="{FCA4E9E4-B9A4-CF6F-852D-F9E0FDBDA252}"/>
            </a:ext>
          </a:extLst>
        </xdr:cNvPr>
        <xdr:cNvSpPr txBox="1"/>
      </xdr:nvSpPr>
      <xdr:spPr>
        <a:xfrm rot="10800000" flipH="1" flipV="1">
          <a:off x="76200" y="1752600"/>
          <a:ext cx="43434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baseline="0">
              <a:solidFill>
                <a:schemeClr val="bg1"/>
              </a:solidFill>
              <a:latin typeface="Arial" panose="020B0604020202020204" pitchFamily="34" charset="0"/>
              <a:cs typeface="Arial" panose="020B0604020202020204" pitchFamily="34" charset="0"/>
            </a:rPr>
            <a:t>Customers Type</a:t>
          </a:r>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76200</xdr:colOff>
      <xdr:row>36</xdr:row>
      <xdr:rowOff>38100</xdr:rowOff>
    </xdr:from>
    <xdr:to>
      <xdr:col>7</xdr:col>
      <xdr:colOff>152400</xdr:colOff>
      <xdr:row>39</xdr:row>
      <xdr:rowOff>152400</xdr:rowOff>
    </xdr:to>
    <xdr:sp macro="" textlink="">
      <xdr:nvSpPr>
        <xdr:cNvPr id="18" name="TextBox 17">
          <a:extLst>
            <a:ext uri="{FF2B5EF4-FFF2-40B4-BE49-F238E27FC236}">
              <a16:creationId xmlns:a16="http://schemas.microsoft.com/office/drawing/2014/main" id="{8E75C3E0-3618-9511-16F7-11C9711A4BB8}"/>
            </a:ext>
          </a:extLst>
        </xdr:cNvPr>
        <xdr:cNvSpPr txBox="1"/>
      </xdr:nvSpPr>
      <xdr:spPr>
        <a:xfrm rot="10800000" flipH="1" flipV="1">
          <a:off x="76200" y="6896100"/>
          <a:ext cx="43434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baseline="0">
              <a:solidFill>
                <a:schemeClr val="bg1"/>
              </a:solidFill>
              <a:latin typeface="Arial" panose="020B0604020202020204" pitchFamily="34" charset="0"/>
              <a:cs typeface="Arial" panose="020B0604020202020204" pitchFamily="34" charset="0"/>
            </a:rPr>
            <a:t>Payment</a:t>
          </a:r>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152400</xdr:colOff>
      <xdr:row>66</xdr:row>
      <xdr:rowOff>0</xdr:rowOff>
    </xdr:from>
    <xdr:to>
      <xdr:col>6</xdr:col>
      <xdr:colOff>419100</xdr:colOff>
      <xdr:row>69</xdr:row>
      <xdr:rowOff>114300</xdr:rowOff>
    </xdr:to>
    <xdr:sp macro="" textlink="">
      <xdr:nvSpPr>
        <xdr:cNvPr id="20" name="TextBox 19">
          <a:extLst>
            <a:ext uri="{FF2B5EF4-FFF2-40B4-BE49-F238E27FC236}">
              <a16:creationId xmlns:a16="http://schemas.microsoft.com/office/drawing/2014/main" id="{7FCFAD0B-739E-086A-A82B-371203E75149}"/>
            </a:ext>
          </a:extLst>
        </xdr:cNvPr>
        <xdr:cNvSpPr txBox="1"/>
      </xdr:nvSpPr>
      <xdr:spPr>
        <a:xfrm rot="10800000" flipH="1" flipV="1">
          <a:off x="152400" y="12801600"/>
          <a:ext cx="39243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baseline="0">
              <a:solidFill>
                <a:schemeClr val="bg1"/>
              </a:solidFill>
              <a:latin typeface="Arial" panose="020B0604020202020204" pitchFamily="34" charset="0"/>
              <a:cs typeface="Arial" panose="020B0604020202020204" pitchFamily="34" charset="0"/>
            </a:rPr>
            <a:t>Regions</a:t>
          </a:r>
          <a:endParaRPr lang="en-US"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64</xdr:row>
      <xdr:rowOff>38100</xdr:rowOff>
    </xdr:from>
    <xdr:to>
      <xdr:col>7</xdr:col>
      <xdr:colOff>152400</xdr:colOff>
      <xdr:row>64</xdr:row>
      <xdr:rowOff>76200</xdr:rowOff>
    </xdr:to>
    <xdr:cxnSp macro="">
      <xdr:nvCxnSpPr>
        <xdr:cNvPr id="22" name="Straight Connector 21">
          <a:extLst>
            <a:ext uri="{FF2B5EF4-FFF2-40B4-BE49-F238E27FC236}">
              <a16:creationId xmlns:a16="http://schemas.microsoft.com/office/drawing/2014/main" id="{9B55BE95-5071-DDF7-2B87-36E17D295F11}"/>
            </a:ext>
          </a:extLst>
        </xdr:cNvPr>
        <xdr:cNvCxnSpPr/>
      </xdr:nvCxnSpPr>
      <xdr:spPr>
        <a:xfrm flipV="1">
          <a:off x="0" y="12458700"/>
          <a:ext cx="4419600" cy="381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35</xdr:row>
      <xdr:rowOff>114300</xdr:rowOff>
    </xdr:from>
    <xdr:to>
      <xdr:col>7</xdr:col>
      <xdr:colOff>152400</xdr:colOff>
      <xdr:row>35</xdr:row>
      <xdr:rowOff>114300</xdr:rowOff>
    </xdr:to>
    <xdr:cxnSp macro="">
      <xdr:nvCxnSpPr>
        <xdr:cNvPr id="27" name="Straight Connector 26">
          <a:extLst>
            <a:ext uri="{FF2B5EF4-FFF2-40B4-BE49-F238E27FC236}">
              <a16:creationId xmlns:a16="http://schemas.microsoft.com/office/drawing/2014/main" id="{E95BE503-2424-24B6-52AE-5B7BCD2D31DA}"/>
            </a:ext>
          </a:extLst>
        </xdr:cNvPr>
        <xdr:cNvCxnSpPr/>
      </xdr:nvCxnSpPr>
      <xdr:spPr>
        <a:xfrm>
          <a:off x="38100" y="6781800"/>
          <a:ext cx="438150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96</xdr:row>
      <xdr:rowOff>0</xdr:rowOff>
    </xdr:from>
    <xdr:to>
      <xdr:col>7</xdr:col>
      <xdr:colOff>190500</xdr:colOff>
      <xdr:row>96</xdr:row>
      <xdr:rowOff>38100</xdr:rowOff>
    </xdr:to>
    <xdr:cxnSp macro="">
      <xdr:nvCxnSpPr>
        <xdr:cNvPr id="28" name="Straight Connector 27">
          <a:extLst>
            <a:ext uri="{FF2B5EF4-FFF2-40B4-BE49-F238E27FC236}">
              <a16:creationId xmlns:a16="http://schemas.microsoft.com/office/drawing/2014/main" id="{A72EAEE4-99CD-554F-C7A4-59C89BF3CAC3}"/>
            </a:ext>
          </a:extLst>
        </xdr:cNvPr>
        <xdr:cNvCxnSpPr/>
      </xdr:nvCxnSpPr>
      <xdr:spPr>
        <a:xfrm flipV="1">
          <a:off x="0" y="18516600"/>
          <a:ext cx="4457700" cy="381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1.651415162036" createdVersion="4" refreshedVersion="4" minRefreshableVersion="3" recordCount="150" xr:uid="{00000000-000A-0000-FFFF-FFFF02000000}">
  <cacheSource type="worksheet">
    <worksheetSource name="Table1"/>
  </cacheSource>
  <cacheFields count="14">
    <cacheField name="Date" numFmtId="14">
      <sharedItems containsDate="1" containsMixedTypes="1" minDate="2024-01-06T00:00:00" maxDate="2024-12-03T00:00:00" count="118">
        <s v="22-01-2024"/>
        <d v="2024-06-10T00:00:00"/>
        <s v="19-11-2024"/>
        <s v="26-08-2024"/>
        <s v="29-07-2024"/>
        <d v="2024-07-12T00:00:00"/>
        <s v="20-04-2024"/>
        <d v="2024-09-08T00:00:00"/>
        <d v="2024-01-11T00:00:00"/>
        <s v="18-03-2024"/>
        <s v="27-01-2024"/>
        <s v="28-06-2024"/>
        <s v="22-10-2024"/>
        <d v="2024-11-05T00:00:00"/>
        <s v="31-01-2024"/>
        <d v="2024-05-09T00:00:00"/>
        <s v="18-06-2024"/>
        <s v="29-08-2024"/>
        <d v="2024-06-03T00:00:00"/>
        <s v="24-05-2024"/>
        <s v="13-10-2024"/>
        <s v="14-03-2024"/>
        <s v="24-09-2024"/>
        <d v="2024-12-01T00:00:00"/>
        <d v="2024-10-09T00:00:00"/>
        <s v="17-07-2024"/>
        <s v="20-03-2024"/>
        <s v="30-09-2024"/>
        <s v="22-03-2024"/>
        <d v="2024-06-02T00:00:00"/>
        <d v="2024-05-04T00:00:00"/>
        <s v="26-04-2024"/>
        <d v="2024-04-10T00:00:00"/>
        <s v="14-04-2024"/>
        <s v="13-05-2024"/>
        <s v="17-06-2024"/>
        <d v="2024-04-08T00:00:00"/>
        <s v="24-04-2024"/>
        <s v="30-05-2024"/>
        <s v="23-08-2024"/>
        <d v="2024-07-08T00:00:00"/>
        <s v="31-03-2024"/>
        <d v="2024-01-06T00:00:00"/>
        <d v="2024-07-04T00:00:00"/>
        <d v="2024-11-04T00:00:00"/>
        <s v="23-01-2024"/>
        <s v="15-01-2024"/>
        <d v="2024-08-02T00:00:00"/>
        <s v="28-07-2024"/>
        <d v="2024-01-09T00:00:00"/>
        <d v="2024-06-08T00:00:00"/>
        <d v="2024-08-09T00:00:00"/>
        <d v="2024-10-02T00:00:00"/>
        <d v="2024-02-09T00:00:00"/>
        <d v="2024-03-02T00:00:00"/>
        <s v="19-02-2024"/>
        <s v="25-05-2024"/>
        <s v="17-04-2024"/>
        <s v="28-09-2024"/>
        <s v="18-05-2024"/>
        <d v="2024-04-01T00:00:00"/>
        <d v="2024-02-04T00:00:00"/>
        <d v="2024-04-05T00:00:00"/>
        <s v="13-07-2024"/>
        <s v="29-02-2024"/>
        <s v="30-06-2024"/>
        <s v="23-09-2024"/>
        <s v="18-01-2024"/>
        <d v="2024-09-05T00:00:00"/>
        <s v="26-06-2024"/>
        <s v="14-09-2024"/>
        <d v="2024-11-07T00:00:00"/>
        <d v="2024-07-06T00:00:00"/>
        <s v="18-07-2024"/>
        <s v="16-07-2024"/>
        <d v="2024-01-10T00:00:00"/>
        <d v="2024-08-03T00:00:00"/>
        <s v="26-09-2024"/>
        <s v="21-04-2024"/>
        <s v="30-01-2024"/>
        <s v="20-01-2024"/>
        <s v="17-09-2024"/>
        <d v="2024-03-09T00:00:00"/>
        <s v="28-08-2024"/>
        <s v="27-04-2024"/>
        <s v="13-03-2024"/>
        <s v="13-04-2024"/>
        <s v="23-06-2024"/>
        <d v="2024-01-12T00:00:00"/>
        <s v="29-03-2024"/>
        <s v="13-01-2024"/>
        <d v="2024-10-12T00:00:00"/>
        <d v="2024-09-11T00:00:00"/>
        <s v="21-03-2024"/>
        <d v="2024-07-02T00:00:00"/>
        <d v="2024-06-06T00:00:00"/>
        <s v="30-10-2024"/>
        <s v="24-02-2024"/>
        <d v="2024-04-11T00:00:00"/>
        <s v="14-01-2024"/>
        <d v="2024-10-08T00:00:00"/>
        <s v="16-03-2024"/>
        <s v="19-06-2024"/>
        <d v="2024-09-06T00:00:00"/>
        <s v="19-05-2024"/>
        <s v="30-04-2024"/>
        <d v="2024-10-07T00:00:00"/>
        <s v="14-10-2024"/>
        <d v="2024-09-09T00:00:00"/>
        <s v="26-05-2024"/>
        <s v="24-07-2024"/>
        <s v="21-11-2024"/>
        <s v="25-08-2024"/>
        <d v="2024-12-02T00:00:00"/>
        <d v="2024-05-03T00:00:00"/>
        <s v="20-09-2024"/>
        <s v="14-11-2024"/>
        <d v="2024-08-11T00:00:00"/>
      </sharedItems>
    </cacheField>
    <cacheField name="Product Name" numFmtId="0">
      <sharedItems count="20">
        <s v="Table"/>
        <s v="Curtains"/>
        <s v="Sneakers"/>
        <s v="Chair"/>
        <s v="Lamp"/>
        <s v="Laptop"/>
        <s v="T-Shirt"/>
        <s v="Yoga Mat"/>
        <s v="Tennis Racket"/>
        <s v="Dumbbells"/>
        <s v="Smartphone"/>
        <s v="Perfume"/>
        <s v="Camera"/>
        <s v="Headphones"/>
        <s v="Football"/>
        <s v="Shampoo"/>
        <s v="Jeans"/>
        <s v="Face Cream"/>
        <s v="Jacket"/>
        <s v="Lipstick"/>
      </sharedItems>
    </cacheField>
    <cacheField name="Category" numFmtId="0">
      <sharedItems count="5">
        <s v="Home Goods"/>
        <s v="Clothing"/>
        <s v="Electronics"/>
        <s v="Sports"/>
        <s v="Beauty"/>
      </sharedItems>
    </cacheField>
    <cacheField name="Sales Representative" numFmtId="0">
      <sharedItems count="5">
        <s v="Charlie"/>
        <s v="Bob"/>
        <s v="Alice"/>
        <s v="Eve"/>
        <s v="Diana"/>
      </sharedItems>
    </cacheField>
    <cacheField name="Region" numFmtId="0">
      <sharedItems count="4">
        <s v="West"/>
        <s v="East"/>
        <s v="South"/>
        <s v="North"/>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22.62" maxValue="495.03"/>
    </cacheField>
    <cacheField name="Total Sale" numFmtId="0">
      <sharedItems containsSemiMixedTypes="0" containsString="0" containsNumber="1" minValue="55.02" maxValue="4930.5"/>
    </cacheField>
    <cacheField name="Cost Price" numFmtId="0">
      <sharedItems containsSemiMixedTypes="0" containsString="0" containsNumber="1" minValue="-4.9800000000000004" maxValue="4870.5"/>
    </cacheField>
    <cacheField name="Profit" numFmtId="0">
      <sharedItems containsSemiMixedTypes="0" containsString="0" containsNumber="1" minValue="40" maxValue="65.5"/>
    </cacheField>
    <cacheField name="Payment Method" numFmtId="0">
      <sharedItems count="3">
        <s v="Credit Card"/>
        <s v="Cash"/>
        <s v="Online Transfer"/>
      </sharedItems>
    </cacheField>
    <cacheField name="Order Status" numFmtId="0">
      <sharedItems count="3">
        <s v="Completed"/>
        <s v="Pending"/>
        <s v="Cancelled"/>
      </sharedItems>
    </cacheField>
    <cacheField name="Region Manager" numFmtId="0">
      <sharedItems count="4">
        <s v="Lisa White"/>
        <s v="Tom Brown"/>
        <s v="Mark Davis"/>
        <s v="Sarah Johnson"/>
      </sharedItems>
    </cacheField>
    <cacheField name="Customer Type" numFmtId="0">
      <sharedItems count="3">
        <s v="Regular"/>
        <s v="VIP"/>
        <s v="Ne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x v="0"/>
    <x v="0"/>
    <x v="0"/>
    <x v="0"/>
    <x v="0"/>
    <n v="1"/>
    <n v="91.81"/>
    <n v="91.81"/>
    <n v="51.81"/>
    <n v="40"/>
    <x v="0"/>
    <x v="0"/>
    <x v="0"/>
    <x v="0"/>
  </r>
  <r>
    <x v="1"/>
    <x v="1"/>
    <x v="0"/>
    <x v="1"/>
    <x v="1"/>
    <n v="9"/>
    <n v="462.17"/>
    <n v="4159.53"/>
    <n v="4099.53"/>
    <n v="60"/>
    <x v="1"/>
    <x v="1"/>
    <x v="1"/>
    <x v="1"/>
  </r>
  <r>
    <x v="2"/>
    <x v="2"/>
    <x v="1"/>
    <x v="1"/>
    <x v="2"/>
    <n v="7"/>
    <n v="198.67"/>
    <n v="1390.69"/>
    <n v="1325.19"/>
    <n v="65.5"/>
    <x v="2"/>
    <x v="2"/>
    <x v="2"/>
    <x v="2"/>
  </r>
  <r>
    <x v="3"/>
    <x v="3"/>
    <x v="0"/>
    <x v="1"/>
    <x v="2"/>
    <n v="6"/>
    <n v="125.67"/>
    <n v="754.02"/>
    <n v="705.02"/>
    <n v="49"/>
    <x v="0"/>
    <x v="0"/>
    <x v="3"/>
    <x v="0"/>
  </r>
  <r>
    <x v="4"/>
    <x v="4"/>
    <x v="0"/>
    <x v="1"/>
    <x v="1"/>
    <n v="5"/>
    <n v="244.72"/>
    <n v="1223.5999999999999"/>
    <n v="1183.5999999999999"/>
    <n v="40"/>
    <x v="1"/>
    <x v="1"/>
    <x v="0"/>
    <x v="1"/>
  </r>
  <r>
    <x v="5"/>
    <x v="5"/>
    <x v="2"/>
    <x v="1"/>
    <x v="1"/>
    <n v="3"/>
    <n v="117.66"/>
    <n v="352.98"/>
    <n v="292.98"/>
    <n v="60"/>
    <x v="2"/>
    <x v="0"/>
    <x v="1"/>
    <x v="2"/>
  </r>
  <r>
    <x v="6"/>
    <x v="6"/>
    <x v="1"/>
    <x v="2"/>
    <x v="2"/>
    <n v="5"/>
    <n v="249.15"/>
    <n v="1245.75"/>
    <n v="1180.25"/>
    <n v="65.5"/>
    <x v="0"/>
    <x v="2"/>
    <x v="2"/>
    <x v="0"/>
  </r>
  <r>
    <x v="5"/>
    <x v="7"/>
    <x v="3"/>
    <x v="1"/>
    <x v="1"/>
    <n v="5"/>
    <n v="337.68"/>
    <n v="1688.4"/>
    <n v="1639.4"/>
    <n v="49"/>
    <x v="1"/>
    <x v="0"/>
    <x v="3"/>
    <x v="1"/>
  </r>
  <r>
    <x v="7"/>
    <x v="8"/>
    <x v="3"/>
    <x v="2"/>
    <x v="3"/>
    <n v="5"/>
    <n v="491.3"/>
    <n v="2456.5"/>
    <n v="2416.5"/>
    <n v="40"/>
    <x v="2"/>
    <x v="1"/>
    <x v="0"/>
    <x v="2"/>
  </r>
  <r>
    <x v="8"/>
    <x v="3"/>
    <x v="0"/>
    <x v="1"/>
    <x v="2"/>
    <n v="4"/>
    <n v="394.42"/>
    <n v="1577.68"/>
    <n v="1517.68"/>
    <n v="60"/>
    <x v="0"/>
    <x v="0"/>
    <x v="1"/>
    <x v="0"/>
  </r>
  <r>
    <x v="9"/>
    <x v="9"/>
    <x v="3"/>
    <x v="0"/>
    <x v="3"/>
    <n v="2"/>
    <n v="216.4"/>
    <n v="432.8"/>
    <n v="367.3"/>
    <n v="65.5"/>
    <x v="1"/>
    <x v="1"/>
    <x v="2"/>
    <x v="1"/>
  </r>
  <r>
    <x v="10"/>
    <x v="7"/>
    <x v="3"/>
    <x v="3"/>
    <x v="2"/>
    <n v="6"/>
    <n v="457.22"/>
    <n v="2743.32"/>
    <n v="2694.32"/>
    <n v="49"/>
    <x v="2"/>
    <x v="2"/>
    <x v="3"/>
    <x v="2"/>
  </r>
  <r>
    <x v="11"/>
    <x v="0"/>
    <x v="0"/>
    <x v="2"/>
    <x v="1"/>
    <n v="8"/>
    <n v="438.33"/>
    <n v="3506.64"/>
    <n v="3466.64"/>
    <n v="40"/>
    <x v="0"/>
    <x v="0"/>
    <x v="0"/>
    <x v="0"/>
  </r>
  <r>
    <x v="12"/>
    <x v="3"/>
    <x v="0"/>
    <x v="4"/>
    <x v="2"/>
    <n v="2"/>
    <n v="56.98"/>
    <n v="113.96"/>
    <n v="53.96"/>
    <n v="60"/>
    <x v="1"/>
    <x v="0"/>
    <x v="1"/>
    <x v="1"/>
  </r>
  <r>
    <x v="13"/>
    <x v="9"/>
    <x v="3"/>
    <x v="4"/>
    <x v="3"/>
    <n v="1"/>
    <n v="313.14"/>
    <n v="313.14"/>
    <n v="247.64"/>
    <n v="65.5"/>
    <x v="2"/>
    <x v="2"/>
    <x v="2"/>
    <x v="2"/>
  </r>
  <r>
    <x v="14"/>
    <x v="4"/>
    <x v="0"/>
    <x v="0"/>
    <x v="1"/>
    <n v="4"/>
    <n v="53.03"/>
    <n v="212.12"/>
    <n v="163.12"/>
    <n v="49"/>
    <x v="0"/>
    <x v="1"/>
    <x v="3"/>
    <x v="0"/>
  </r>
  <r>
    <x v="15"/>
    <x v="10"/>
    <x v="2"/>
    <x v="2"/>
    <x v="3"/>
    <n v="10"/>
    <n v="152.37"/>
    <n v="1523.7"/>
    <n v="1483.7"/>
    <n v="40"/>
    <x v="1"/>
    <x v="0"/>
    <x v="0"/>
    <x v="1"/>
  </r>
  <r>
    <x v="16"/>
    <x v="3"/>
    <x v="0"/>
    <x v="3"/>
    <x v="3"/>
    <n v="6"/>
    <n v="132.59"/>
    <n v="795.54"/>
    <n v="735.54"/>
    <n v="60"/>
    <x v="2"/>
    <x v="0"/>
    <x v="1"/>
    <x v="2"/>
  </r>
  <r>
    <x v="17"/>
    <x v="6"/>
    <x v="1"/>
    <x v="4"/>
    <x v="0"/>
    <n v="5"/>
    <n v="265.92"/>
    <n v="1329.6"/>
    <n v="1264.0999999999999"/>
    <n v="65.5"/>
    <x v="0"/>
    <x v="1"/>
    <x v="2"/>
    <x v="0"/>
  </r>
  <r>
    <x v="16"/>
    <x v="3"/>
    <x v="0"/>
    <x v="4"/>
    <x v="3"/>
    <n v="1"/>
    <n v="492.81"/>
    <n v="492.81"/>
    <n v="443.81"/>
    <n v="49"/>
    <x v="1"/>
    <x v="2"/>
    <x v="3"/>
    <x v="1"/>
  </r>
  <r>
    <x v="18"/>
    <x v="4"/>
    <x v="0"/>
    <x v="4"/>
    <x v="3"/>
    <n v="1"/>
    <n v="434.04"/>
    <n v="434.04"/>
    <n v="394.04"/>
    <n v="40"/>
    <x v="2"/>
    <x v="0"/>
    <x v="0"/>
    <x v="2"/>
  </r>
  <r>
    <x v="19"/>
    <x v="2"/>
    <x v="1"/>
    <x v="2"/>
    <x v="0"/>
    <n v="10"/>
    <n v="462.7"/>
    <n v="4627"/>
    <n v="4567"/>
    <n v="60"/>
    <x v="0"/>
    <x v="2"/>
    <x v="1"/>
    <x v="0"/>
  </r>
  <r>
    <x v="13"/>
    <x v="3"/>
    <x v="0"/>
    <x v="3"/>
    <x v="1"/>
    <n v="2"/>
    <n v="336.04"/>
    <n v="672.08"/>
    <n v="606.58000000000004"/>
    <n v="65.5"/>
    <x v="1"/>
    <x v="0"/>
    <x v="2"/>
    <x v="1"/>
  </r>
  <r>
    <x v="20"/>
    <x v="11"/>
    <x v="4"/>
    <x v="4"/>
    <x v="1"/>
    <n v="7"/>
    <n v="349.53"/>
    <n v="2446.71"/>
    <n v="2397.71"/>
    <n v="49"/>
    <x v="2"/>
    <x v="1"/>
    <x v="3"/>
    <x v="2"/>
  </r>
  <r>
    <x v="21"/>
    <x v="4"/>
    <x v="0"/>
    <x v="1"/>
    <x v="3"/>
    <n v="5"/>
    <n v="178.39"/>
    <n v="891.95"/>
    <n v="851.95"/>
    <n v="40"/>
    <x v="0"/>
    <x v="1"/>
    <x v="0"/>
    <x v="0"/>
  </r>
  <r>
    <x v="22"/>
    <x v="12"/>
    <x v="2"/>
    <x v="0"/>
    <x v="2"/>
    <n v="9"/>
    <n v="479.97"/>
    <n v="4319.7299999999996"/>
    <n v="4259.7299999999996"/>
    <n v="60"/>
    <x v="1"/>
    <x v="2"/>
    <x v="1"/>
    <x v="1"/>
  </r>
  <r>
    <x v="23"/>
    <x v="12"/>
    <x v="2"/>
    <x v="2"/>
    <x v="0"/>
    <n v="1"/>
    <n v="226.32"/>
    <n v="226.32"/>
    <n v="160.82"/>
    <n v="65.5"/>
    <x v="2"/>
    <x v="0"/>
    <x v="2"/>
    <x v="2"/>
  </r>
  <r>
    <x v="24"/>
    <x v="12"/>
    <x v="2"/>
    <x v="1"/>
    <x v="2"/>
    <n v="6"/>
    <n v="430.69"/>
    <n v="2584.14"/>
    <n v="2535.14"/>
    <n v="49"/>
    <x v="0"/>
    <x v="0"/>
    <x v="3"/>
    <x v="0"/>
  </r>
  <r>
    <x v="25"/>
    <x v="6"/>
    <x v="1"/>
    <x v="1"/>
    <x v="3"/>
    <n v="3"/>
    <n v="393.27"/>
    <n v="1179.81"/>
    <n v="1139.81"/>
    <n v="40"/>
    <x v="1"/>
    <x v="1"/>
    <x v="0"/>
    <x v="1"/>
  </r>
  <r>
    <x v="26"/>
    <x v="1"/>
    <x v="0"/>
    <x v="0"/>
    <x v="1"/>
    <n v="9"/>
    <n v="475.63"/>
    <n v="4280.67"/>
    <n v="4220.67"/>
    <n v="60"/>
    <x v="2"/>
    <x v="2"/>
    <x v="1"/>
    <x v="2"/>
  </r>
  <r>
    <x v="27"/>
    <x v="1"/>
    <x v="0"/>
    <x v="0"/>
    <x v="0"/>
    <n v="1"/>
    <n v="286.63"/>
    <n v="286.63"/>
    <n v="221.13"/>
    <n v="65.5"/>
    <x v="0"/>
    <x v="0"/>
    <x v="2"/>
    <x v="0"/>
  </r>
  <r>
    <x v="24"/>
    <x v="2"/>
    <x v="1"/>
    <x v="1"/>
    <x v="2"/>
    <n v="6"/>
    <n v="66.28"/>
    <n v="397.68"/>
    <n v="348.68"/>
    <n v="49"/>
    <x v="1"/>
    <x v="1"/>
    <x v="3"/>
    <x v="1"/>
  </r>
  <r>
    <x v="28"/>
    <x v="13"/>
    <x v="2"/>
    <x v="4"/>
    <x v="0"/>
    <n v="1"/>
    <n v="188.02"/>
    <n v="188.02"/>
    <n v="148.02000000000001"/>
    <n v="40"/>
    <x v="2"/>
    <x v="0"/>
    <x v="0"/>
    <x v="2"/>
  </r>
  <r>
    <x v="29"/>
    <x v="2"/>
    <x v="1"/>
    <x v="0"/>
    <x v="2"/>
    <n v="2"/>
    <n v="163.61000000000001"/>
    <n v="327.22000000000003"/>
    <n v="267.22000000000003"/>
    <n v="60"/>
    <x v="0"/>
    <x v="2"/>
    <x v="1"/>
    <x v="0"/>
  </r>
  <r>
    <x v="30"/>
    <x v="10"/>
    <x v="2"/>
    <x v="1"/>
    <x v="1"/>
    <n v="5"/>
    <n v="235.55"/>
    <n v="1177.75"/>
    <n v="1112.25"/>
    <n v="65.5"/>
    <x v="1"/>
    <x v="1"/>
    <x v="2"/>
    <x v="1"/>
  </r>
  <r>
    <x v="31"/>
    <x v="5"/>
    <x v="2"/>
    <x v="3"/>
    <x v="1"/>
    <n v="9"/>
    <n v="342.15"/>
    <n v="3079.35"/>
    <n v="3030.35"/>
    <n v="49"/>
    <x v="2"/>
    <x v="0"/>
    <x v="3"/>
    <x v="2"/>
  </r>
  <r>
    <x v="32"/>
    <x v="14"/>
    <x v="3"/>
    <x v="1"/>
    <x v="3"/>
    <n v="4"/>
    <n v="117.1"/>
    <n v="468.4"/>
    <n v="428.4"/>
    <n v="40"/>
    <x v="0"/>
    <x v="2"/>
    <x v="0"/>
    <x v="0"/>
  </r>
  <r>
    <x v="33"/>
    <x v="15"/>
    <x v="4"/>
    <x v="1"/>
    <x v="2"/>
    <n v="2"/>
    <n v="416.69"/>
    <n v="833.38"/>
    <n v="773.38"/>
    <n v="60"/>
    <x v="1"/>
    <x v="0"/>
    <x v="1"/>
    <x v="1"/>
  </r>
  <r>
    <x v="34"/>
    <x v="0"/>
    <x v="0"/>
    <x v="4"/>
    <x v="0"/>
    <n v="8"/>
    <n v="341.07"/>
    <n v="2728.56"/>
    <n v="2663.06"/>
    <n v="65.5"/>
    <x v="2"/>
    <x v="1"/>
    <x v="2"/>
    <x v="2"/>
  </r>
  <r>
    <x v="35"/>
    <x v="16"/>
    <x v="1"/>
    <x v="0"/>
    <x v="2"/>
    <n v="7"/>
    <n v="76.53"/>
    <n v="535.71"/>
    <n v="486.71"/>
    <n v="49"/>
    <x v="0"/>
    <x v="2"/>
    <x v="3"/>
    <x v="0"/>
  </r>
  <r>
    <x v="36"/>
    <x v="3"/>
    <x v="0"/>
    <x v="4"/>
    <x v="3"/>
    <n v="5"/>
    <n v="302.08"/>
    <n v="1510.4"/>
    <n v="1470.4"/>
    <n v="40"/>
    <x v="1"/>
    <x v="0"/>
    <x v="0"/>
    <x v="1"/>
  </r>
  <r>
    <x v="37"/>
    <x v="15"/>
    <x v="4"/>
    <x v="2"/>
    <x v="1"/>
    <n v="6"/>
    <n v="343.96"/>
    <n v="2063.7600000000002"/>
    <n v="2003.76"/>
    <n v="60"/>
    <x v="2"/>
    <x v="1"/>
    <x v="1"/>
    <x v="2"/>
  </r>
  <r>
    <x v="38"/>
    <x v="3"/>
    <x v="0"/>
    <x v="2"/>
    <x v="2"/>
    <n v="3"/>
    <n v="334.52"/>
    <n v="1003.56"/>
    <n v="938.06"/>
    <n v="65.5"/>
    <x v="0"/>
    <x v="2"/>
    <x v="2"/>
    <x v="0"/>
  </r>
  <r>
    <x v="39"/>
    <x v="3"/>
    <x v="0"/>
    <x v="4"/>
    <x v="0"/>
    <n v="6"/>
    <n v="108.38"/>
    <n v="650.28"/>
    <n v="601.28"/>
    <n v="49"/>
    <x v="1"/>
    <x v="0"/>
    <x v="3"/>
    <x v="1"/>
  </r>
  <r>
    <x v="40"/>
    <x v="7"/>
    <x v="3"/>
    <x v="0"/>
    <x v="0"/>
    <n v="6"/>
    <n v="135.08000000000001"/>
    <n v="810.48"/>
    <n v="770.48"/>
    <n v="40"/>
    <x v="2"/>
    <x v="0"/>
    <x v="0"/>
    <x v="2"/>
  </r>
  <r>
    <x v="41"/>
    <x v="4"/>
    <x v="0"/>
    <x v="4"/>
    <x v="3"/>
    <n v="8"/>
    <n v="217.97"/>
    <n v="1743.76"/>
    <n v="1683.76"/>
    <n v="60"/>
    <x v="0"/>
    <x v="2"/>
    <x v="1"/>
    <x v="0"/>
  </r>
  <r>
    <x v="10"/>
    <x v="4"/>
    <x v="0"/>
    <x v="2"/>
    <x v="2"/>
    <n v="10"/>
    <n v="315.7"/>
    <n v="3157"/>
    <n v="3091.5"/>
    <n v="65.5"/>
    <x v="1"/>
    <x v="0"/>
    <x v="2"/>
    <x v="1"/>
  </r>
  <r>
    <x v="42"/>
    <x v="12"/>
    <x v="2"/>
    <x v="2"/>
    <x v="2"/>
    <n v="4"/>
    <n v="275.02999999999997"/>
    <n v="1100.1199999999999"/>
    <n v="1051.1199999999999"/>
    <n v="49"/>
    <x v="2"/>
    <x v="1"/>
    <x v="3"/>
    <x v="2"/>
  </r>
  <r>
    <x v="43"/>
    <x v="13"/>
    <x v="2"/>
    <x v="1"/>
    <x v="3"/>
    <n v="2"/>
    <n v="333.53"/>
    <n v="667.06"/>
    <n v="627.05999999999995"/>
    <n v="40"/>
    <x v="0"/>
    <x v="0"/>
    <x v="0"/>
    <x v="0"/>
  </r>
  <r>
    <x v="44"/>
    <x v="8"/>
    <x v="3"/>
    <x v="1"/>
    <x v="2"/>
    <n v="10"/>
    <n v="493.05"/>
    <n v="4930.5"/>
    <n v="4870.5"/>
    <n v="60"/>
    <x v="1"/>
    <x v="2"/>
    <x v="1"/>
    <x v="1"/>
  </r>
  <r>
    <x v="45"/>
    <x v="10"/>
    <x v="2"/>
    <x v="0"/>
    <x v="1"/>
    <n v="2"/>
    <n v="154.16"/>
    <n v="308.32"/>
    <n v="242.82"/>
    <n v="65.5"/>
    <x v="2"/>
    <x v="1"/>
    <x v="2"/>
    <x v="2"/>
  </r>
  <r>
    <x v="46"/>
    <x v="17"/>
    <x v="4"/>
    <x v="3"/>
    <x v="2"/>
    <n v="10"/>
    <n v="294.19"/>
    <n v="2941.9"/>
    <n v="2892.9"/>
    <n v="49"/>
    <x v="0"/>
    <x v="0"/>
    <x v="3"/>
    <x v="0"/>
  </r>
  <r>
    <x v="47"/>
    <x v="2"/>
    <x v="1"/>
    <x v="0"/>
    <x v="0"/>
    <n v="8"/>
    <n v="307.88"/>
    <n v="2463.04"/>
    <n v="2423.04"/>
    <n v="40"/>
    <x v="1"/>
    <x v="2"/>
    <x v="0"/>
    <x v="1"/>
  </r>
  <r>
    <x v="28"/>
    <x v="14"/>
    <x v="3"/>
    <x v="3"/>
    <x v="0"/>
    <n v="10"/>
    <n v="223.77"/>
    <n v="2237.6999999999998"/>
    <n v="2177.6999999999998"/>
    <n v="60"/>
    <x v="2"/>
    <x v="0"/>
    <x v="1"/>
    <x v="2"/>
  </r>
  <r>
    <x v="9"/>
    <x v="18"/>
    <x v="1"/>
    <x v="1"/>
    <x v="3"/>
    <n v="5"/>
    <n v="83.92"/>
    <n v="419.6"/>
    <n v="354.1"/>
    <n v="65.5"/>
    <x v="0"/>
    <x v="1"/>
    <x v="2"/>
    <x v="0"/>
  </r>
  <r>
    <x v="48"/>
    <x v="10"/>
    <x v="2"/>
    <x v="4"/>
    <x v="0"/>
    <n v="3"/>
    <n v="191.55"/>
    <n v="574.65"/>
    <n v="525.65"/>
    <n v="49"/>
    <x v="1"/>
    <x v="2"/>
    <x v="3"/>
    <x v="1"/>
  </r>
  <r>
    <x v="49"/>
    <x v="0"/>
    <x v="0"/>
    <x v="3"/>
    <x v="2"/>
    <n v="5"/>
    <n v="290.39"/>
    <n v="1451.95"/>
    <n v="1411.95"/>
    <n v="40"/>
    <x v="2"/>
    <x v="0"/>
    <x v="0"/>
    <x v="2"/>
  </r>
  <r>
    <x v="50"/>
    <x v="13"/>
    <x v="2"/>
    <x v="0"/>
    <x v="0"/>
    <n v="8"/>
    <n v="89.62"/>
    <n v="716.96"/>
    <n v="656.96"/>
    <n v="60"/>
    <x v="0"/>
    <x v="1"/>
    <x v="1"/>
    <x v="0"/>
  </r>
  <r>
    <x v="51"/>
    <x v="18"/>
    <x v="1"/>
    <x v="4"/>
    <x v="1"/>
    <n v="7"/>
    <n v="252.53"/>
    <n v="1767.71"/>
    <n v="1702.21"/>
    <n v="65.5"/>
    <x v="1"/>
    <x v="0"/>
    <x v="2"/>
    <x v="1"/>
  </r>
  <r>
    <x v="52"/>
    <x v="7"/>
    <x v="3"/>
    <x v="2"/>
    <x v="1"/>
    <n v="9"/>
    <n v="127.33"/>
    <n v="1145.97"/>
    <n v="1096.97"/>
    <n v="49"/>
    <x v="2"/>
    <x v="2"/>
    <x v="3"/>
    <x v="2"/>
  </r>
  <r>
    <x v="53"/>
    <x v="12"/>
    <x v="2"/>
    <x v="4"/>
    <x v="0"/>
    <n v="4"/>
    <n v="165.21"/>
    <n v="660.84"/>
    <n v="620.84"/>
    <n v="40"/>
    <x v="0"/>
    <x v="0"/>
    <x v="0"/>
    <x v="0"/>
  </r>
  <r>
    <x v="54"/>
    <x v="4"/>
    <x v="0"/>
    <x v="0"/>
    <x v="0"/>
    <n v="8"/>
    <n v="292.8"/>
    <n v="2342.4"/>
    <n v="2282.4"/>
    <n v="60"/>
    <x v="1"/>
    <x v="1"/>
    <x v="1"/>
    <x v="1"/>
  </r>
  <r>
    <x v="55"/>
    <x v="2"/>
    <x v="1"/>
    <x v="2"/>
    <x v="1"/>
    <n v="1"/>
    <n v="327.33"/>
    <n v="327.33"/>
    <n v="261.83"/>
    <n v="65.5"/>
    <x v="2"/>
    <x v="0"/>
    <x v="2"/>
    <x v="2"/>
  </r>
  <r>
    <x v="56"/>
    <x v="1"/>
    <x v="0"/>
    <x v="3"/>
    <x v="3"/>
    <n v="6"/>
    <n v="201.52"/>
    <n v="1209.1199999999999"/>
    <n v="1160.1199999999999"/>
    <n v="49"/>
    <x v="0"/>
    <x v="2"/>
    <x v="3"/>
    <x v="0"/>
  </r>
  <r>
    <x v="57"/>
    <x v="0"/>
    <x v="0"/>
    <x v="3"/>
    <x v="2"/>
    <n v="3"/>
    <n v="487.82"/>
    <n v="1463.46"/>
    <n v="1423.46"/>
    <n v="40"/>
    <x v="1"/>
    <x v="0"/>
    <x v="0"/>
    <x v="1"/>
  </r>
  <r>
    <x v="58"/>
    <x v="7"/>
    <x v="3"/>
    <x v="3"/>
    <x v="3"/>
    <n v="9"/>
    <n v="334.1"/>
    <n v="3006.9"/>
    <n v="2946.9"/>
    <n v="60"/>
    <x v="2"/>
    <x v="1"/>
    <x v="1"/>
    <x v="2"/>
  </r>
  <r>
    <x v="29"/>
    <x v="3"/>
    <x v="0"/>
    <x v="4"/>
    <x v="2"/>
    <n v="10"/>
    <n v="88.48"/>
    <n v="884.8"/>
    <n v="819.3"/>
    <n v="65.5"/>
    <x v="0"/>
    <x v="0"/>
    <x v="2"/>
    <x v="0"/>
  </r>
  <r>
    <x v="26"/>
    <x v="4"/>
    <x v="0"/>
    <x v="1"/>
    <x v="3"/>
    <n v="2"/>
    <n v="115.48"/>
    <n v="230.96"/>
    <n v="181.96"/>
    <n v="49"/>
    <x v="1"/>
    <x v="2"/>
    <x v="3"/>
    <x v="1"/>
  </r>
  <r>
    <x v="34"/>
    <x v="4"/>
    <x v="0"/>
    <x v="4"/>
    <x v="1"/>
    <n v="1"/>
    <n v="187.15"/>
    <n v="187.15"/>
    <n v="147.15"/>
    <n v="40"/>
    <x v="2"/>
    <x v="1"/>
    <x v="0"/>
    <x v="2"/>
  </r>
  <r>
    <x v="59"/>
    <x v="8"/>
    <x v="3"/>
    <x v="3"/>
    <x v="2"/>
    <n v="8"/>
    <n v="300.43"/>
    <n v="2403.44"/>
    <n v="2343.44"/>
    <n v="60"/>
    <x v="0"/>
    <x v="0"/>
    <x v="1"/>
    <x v="0"/>
  </r>
  <r>
    <x v="60"/>
    <x v="12"/>
    <x v="2"/>
    <x v="2"/>
    <x v="2"/>
    <n v="3"/>
    <n v="22.62"/>
    <n v="67.86"/>
    <n v="2.36"/>
    <n v="65.5"/>
    <x v="1"/>
    <x v="0"/>
    <x v="2"/>
    <x v="1"/>
  </r>
  <r>
    <x v="61"/>
    <x v="9"/>
    <x v="3"/>
    <x v="4"/>
    <x v="3"/>
    <n v="3"/>
    <n v="295.91000000000003"/>
    <n v="887.73"/>
    <n v="838.73"/>
    <n v="49"/>
    <x v="2"/>
    <x v="2"/>
    <x v="3"/>
    <x v="2"/>
  </r>
  <r>
    <x v="32"/>
    <x v="7"/>
    <x v="3"/>
    <x v="2"/>
    <x v="0"/>
    <n v="3"/>
    <n v="183.7"/>
    <n v="551.1"/>
    <n v="511.1"/>
    <n v="40"/>
    <x v="0"/>
    <x v="1"/>
    <x v="0"/>
    <x v="0"/>
  </r>
  <r>
    <x v="62"/>
    <x v="9"/>
    <x v="3"/>
    <x v="3"/>
    <x v="1"/>
    <n v="3"/>
    <n v="269.45999999999998"/>
    <n v="808.38"/>
    <n v="748.38"/>
    <n v="60"/>
    <x v="1"/>
    <x v="0"/>
    <x v="1"/>
    <x v="1"/>
  </r>
  <r>
    <x v="63"/>
    <x v="9"/>
    <x v="3"/>
    <x v="1"/>
    <x v="0"/>
    <n v="4"/>
    <n v="211.28"/>
    <n v="845.12"/>
    <n v="779.62"/>
    <n v="65.5"/>
    <x v="2"/>
    <x v="1"/>
    <x v="2"/>
    <x v="2"/>
  </r>
  <r>
    <x v="25"/>
    <x v="1"/>
    <x v="0"/>
    <x v="2"/>
    <x v="1"/>
    <n v="5"/>
    <n v="362.47"/>
    <n v="1812.35"/>
    <n v="1763.35"/>
    <n v="49"/>
    <x v="0"/>
    <x v="0"/>
    <x v="3"/>
    <x v="0"/>
  </r>
  <r>
    <x v="10"/>
    <x v="11"/>
    <x v="4"/>
    <x v="3"/>
    <x v="3"/>
    <n v="8"/>
    <n v="259.56"/>
    <n v="2076.48"/>
    <n v="2036.48"/>
    <n v="40"/>
    <x v="1"/>
    <x v="0"/>
    <x v="0"/>
    <x v="1"/>
  </r>
  <r>
    <x v="47"/>
    <x v="1"/>
    <x v="0"/>
    <x v="2"/>
    <x v="3"/>
    <n v="1"/>
    <n v="134.63"/>
    <n v="134.63"/>
    <n v="74.63"/>
    <n v="60"/>
    <x v="2"/>
    <x v="2"/>
    <x v="1"/>
    <x v="2"/>
  </r>
  <r>
    <x v="64"/>
    <x v="9"/>
    <x v="3"/>
    <x v="3"/>
    <x v="1"/>
    <n v="10"/>
    <n v="272.01"/>
    <n v="2720.1"/>
    <n v="2654.6"/>
    <n v="65.5"/>
    <x v="0"/>
    <x v="1"/>
    <x v="2"/>
    <x v="0"/>
  </r>
  <r>
    <x v="65"/>
    <x v="5"/>
    <x v="2"/>
    <x v="3"/>
    <x v="3"/>
    <n v="4"/>
    <n v="265.89"/>
    <n v="1063.56"/>
    <n v="1014.56"/>
    <n v="49"/>
    <x v="1"/>
    <x v="0"/>
    <x v="3"/>
    <x v="1"/>
  </r>
  <r>
    <x v="66"/>
    <x v="7"/>
    <x v="3"/>
    <x v="0"/>
    <x v="1"/>
    <n v="4"/>
    <n v="327.41000000000003"/>
    <n v="1309.6400000000001"/>
    <n v="1269.6400000000001"/>
    <n v="40"/>
    <x v="2"/>
    <x v="0"/>
    <x v="0"/>
    <x v="2"/>
  </r>
  <r>
    <x v="67"/>
    <x v="6"/>
    <x v="1"/>
    <x v="0"/>
    <x v="0"/>
    <n v="2"/>
    <n v="395.91"/>
    <n v="791.82"/>
    <n v="731.82"/>
    <n v="60"/>
    <x v="0"/>
    <x v="2"/>
    <x v="1"/>
    <x v="0"/>
  </r>
  <r>
    <x v="68"/>
    <x v="8"/>
    <x v="3"/>
    <x v="1"/>
    <x v="1"/>
    <n v="10"/>
    <n v="66.56"/>
    <n v="665.6"/>
    <n v="600.1"/>
    <n v="65.5"/>
    <x v="1"/>
    <x v="1"/>
    <x v="2"/>
    <x v="1"/>
  </r>
  <r>
    <x v="69"/>
    <x v="5"/>
    <x v="2"/>
    <x v="3"/>
    <x v="2"/>
    <n v="5"/>
    <n v="432.3"/>
    <n v="2161.5"/>
    <n v="2112.5"/>
    <n v="49"/>
    <x v="2"/>
    <x v="0"/>
    <x v="3"/>
    <x v="2"/>
  </r>
  <r>
    <x v="70"/>
    <x v="4"/>
    <x v="0"/>
    <x v="2"/>
    <x v="2"/>
    <n v="7"/>
    <n v="272.05"/>
    <n v="1904.35"/>
    <n v="1864.35"/>
    <n v="40"/>
    <x v="0"/>
    <x v="0"/>
    <x v="0"/>
    <x v="0"/>
  </r>
  <r>
    <x v="71"/>
    <x v="6"/>
    <x v="1"/>
    <x v="3"/>
    <x v="3"/>
    <n v="7"/>
    <n v="301.27999999999997"/>
    <n v="2108.96"/>
    <n v="2048.96"/>
    <n v="60"/>
    <x v="1"/>
    <x v="2"/>
    <x v="1"/>
    <x v="1"/>
  </r>
  <r>
    <x v="72"/>
    <x v="4"/>
    <x v="0"/>
    <x v="2"/>
    <x v="0"/>
    <n v="9"/>
    <n v="23.52"/>
    <n v="211.68"/>
    <n v="146.18"/>
    <n v="65.5"/>
    <x v="2"/>
    <x v="0"/>
    <x v="2"/>
    <x v="2"/>
  </r>
  <r>
    <x v="73"/>
    <x v="17"/>
    <x v="4"/>
    <x v="1"/>
    <x v="0"/>
    <n v="6"/>
    <n v="281.85000000000002"/>
    <n v="1691.1"/>
    <n v="1642.1"/>
    <n v="49"/>
    <x v="0"/>
    <x v="1"/>
    <x v="3"/>
    <x v="0"/>
  </r>
  <r>
    <x v="74"/>
    <x v="0"/>
    <x v="0"/>
    <x v="3"/>
    <x v="2"/>
    <n v="6"/>
    <n v="157.88"/>
    <n v="947.28"/>
    <n v="907.28"/>
    <n v="40"/>
    <x v="1"/>
    <x v="2"/>
    <x v="0"/>
    <x v="1"/>
  </r>
  <r>
    <x v="75"/>
    <x v="17"/>
    <x v="4"/>
    <x v="1"/>
    <x v="0"/>
    <n v="7"/>
    <n v="98.66"/>
    <n v="690.62"/>
    <n v="630.62"/>
    <n v="60"/>
    <x v="2"/>
    <x v="0"/>
    <x v="1"/>
    <x v="2"/>
  </r>
  <r>
    <x v="76"/>
    <x v="17"/>
    <x v="4"/>
    <x v="2"/>
    <x v="2"/>
    <n v="2"/>
    <n v="37.119999999999997"/>
    <n v="74.239999999999995"/>
    <n v="8.74"/>
    <n v="65.5"/>
    <x v="0"/>
    <x v="1"/>
    <x v="2"/>
    <x v="0"/>
  </r>
  <r>
    <x v="77"/>
    <x v="12"/>
    <x v="2"/>
    <x v="2"/>
    <x v="0"/>
    <n v="9"/>
    <n v="191.38"/>
    <n v="1722.42"/>
    <n v="1673.42"/>
    <n v="49"/>
    <x v="1"/>
    <x v="2"/>
    <x v="3"/>
    <x v="1"/>
  </r>
  <r>
    <x v="78"/>
    <x v="10"/>
    <x v="2"/>
    <x v="3"/>
    <x v="1"/>
    <n v="2"/>
    <n v="301.12"/>
    <n v="602.24"/>
    <n v="562.24"/>
    <n v="40"/>
    <x v="2"/>
    <x v="0"/>
    <x v="0"/>
    <x v="2"/>
  </r>
  <r>
    <x v="53"/>
    <x v="15"/>
    <x v="4"/>
    <x v="4"/>
    <x v="3"/>
    <n v="4"/>
    <n v="415.24"/>
    <n v="1660.96"/>
    <n v="1600.96"/>
    <n v="60"/>
    <x v="0"/>
    <x v="0"/>
    <x v="1"/>
    <x v="0"/>
  </r>
  <r>
    <x v="79"/>
    <x v="10"/>
    <x v="2"/>
    <x v="2"/>
    <x v="0"/>
    <n v="3"/>
    <n v="115.83"/>
    <n v="347.49"/>
    <n v="281.99"/>
    <n v="65.5"/>
    <x v="1"/>
    <x v="1"/>
    <x v="2"/>
    <x v="1"/>
  </r>
  <r>
    <x v="80"/>
    <x v="18"/>
    <x v="1"/>
    <x v="2"/>
    <x v="3"/>
    <n v="6"/>
    <n v="229.86"/>
    <n v="1379.16"/>
    <n v="1330.16"/>
    <n v="49"/>
    <x v="2"/>
    <x v="0"/>
    <x v="3"/>
    <x v="2"/>
  </r>
  <r>
    <x v="81"/>
    <x v="8"/>
    <x v="3"/>
    <x v="3"/>
    <x v="2"/>
    <n v="10"/>
    <n v="98.84"/>
    <n v="988.4"/>
    <n v="948.4"/>
    <n v="40"/>
    <x v="0"/>
    <x v="2"/>
    <x v="0"/>
    <x v="0"/>
  </r>
  <r>
    <x v="82"/>
    <x v="19"/>
    <x v="4"/>
    <x v="3"/>
    <x v="1"/>
    <n v="10"/>
    <n v="200.83"/>
    <n v="2008.3"/>
    <n v="1948.3"/>
    <n v="60"/>
    <x v="1"/>
    <x v="1"/>
    <x v="1"/>
    <x v="1"/>
  </r>
  <r>
    <x v="5"/>
    <x v="4"/>
    <x v="0"/>
    <x v="1"/>
    <x v="3"/>
    <n v="1"/>
    <n v="310.54000000000002"/>
    <n v="310.54000000000002"/>
    <n v="245.04"/>
    <n v="65.5"/>
    <x v="2"/>
    <x v="0"/>
    <x v="2"/>
    <x v="2"/>
  </r>
  <r>
    <x v="42"/>
    <x v="5"/>
    <x v="2"/>
    <x v="3"/>
    <x v="1"/>
    <n v="8"/>
    <n v="228.57"/>
    <n v="1828.56"/>
    <n v="1779.56"/>
    <n v="49"/>
    <x v="0"/>
    <x v="2"/>
    <x v="3"/>
    <x v="0"/>
  </r>
  <r>
    <x v="83"/>
    <x v="7"/>
    <x v="3"/>
    <x v="4"/>
    <x v="2"/>
    <n v="2"/>
    <n v="495.03"/>
    <n v="990.06"/>
    <n v="950.06"/>
    <n v="40"/>
    <x v="1"/>
    <x v="0"/>
    <x v="0"/>
    <x v="1"/>
  </r>
  <r>
    <x v="84"/>
    <x v="18"/>
    <x v="1"/>
    <x v="3"/>
    <x v="3"/>
    <n v="7"/>
    <n v="75.27"/>
    <n v="526.89"/>
    <n v="466.89"/>
    <n v="60"/>
    <x v="2"/>
    <x v="1"/>
    <x v="1"/>
    <x v="2"/>
  </r>
  <r>
    <x v="85"/>
    <x v="2"/>
    <x v="1"/>
    <x v="1"/>
    <x v="0"/>
    <n v="6"/>
    <n v="156.28"/>
    <n v="937.68"/>
    <n v="872.18"/>
    <n v="65.5"/>
    <x v="0"/>
    <x v="0"/>
    <x v="2"/>
    <x v="0"/>
  </r>
  <r>
    <x v="49"/>
    <x v="5"/>
    <x v="2"/>
    <x v="2"/>
    <x v="3"/>
    <n v="5"/>
    <n v="273.58"/>
    <n v="1367.9"/>
    <n v="1318.9"/>
    <n v="49"/>
    <x v="1"/>
    <x v="2"/>
    <x v="3"/>
    <x v="1"/>
  </r>
  <r>
    <x v="86"/>
    <x v="0"/>
    <x v="0"/>
    <x v="3"/>
    <x v="1"/>
    <n v="9"/>
    <n v="393.82"/>
    <n v="3544.38"/>
    <n v="3504.38"/>
    <n v="40"/>
    <x v="2"/>
    <x v="0"/>
    <x v="0"/>
    <x v="2"/>
  </r>
  <r>
    <x v="74"/>
    <x v="9"/>
    <x v="3"/>
    <x v="4"/>
    <x v="2"/>
    <n v="5"/>
    <n v="439.15"/>
    <n v="2195.75"/>
    <n v="2135.75"/>
    <n v="60"/>
    <x v="0"/>
    <x v="1"/>
    <x v="1"/>
    <x v="0"/>
  </r>
  <r>
    <x v="45"/>
    <x v="9"/>
    <x v="3"/>
    <x v="4"/>
    <x v="2"/>
    <n v="5"/>
    <n v="417.04"/>
    <n v="2085.1999999999998"/>
    <n v="2019.7"/>
    <n v="65.5"/>
    <x v="1"/>
    <x v="0"/>
    <x v="2"/>
    <x v="1"/>
  </r>
  <r>
    <x v="10"/>
    <x v="9"/>
    <x v="3"/>
    <x v="2"/>
    <x v="1"/>
    <n v="7"/>
    <n v="178.61"/>
    <n v="1250.27"/>
    <n v="1201.27"/>
    <n v="49"/>
    <x v="2"/>
    <x v="2"/>
    <x v="3"/>
    <x v="2"/>
  </r>
  <r>
    <x v="87"/>
    <x v="15"/>
    <x v="4"/>
    <x v="2"/>
    <x v="0"/>
    <n v="7"/>
    <n v="161.06"/>
    <n v="1127.42"/>
    <n v="1087.42"/>
    <n v="40"/>
    <x v="0"/>
    <x v="0"/>
    <x v="0"/>
    <x v="0"/>
  </r>
  <r>
    <x v="88"/>
    <x v="8"/>
    <x v="3"/>
    <x v="1"/>
    <x v="3"/>
    <n v="4"/>
    <n v="23.62"/>
    <n v="94.48"/>
    <n v="34.479999999999997"/>
    <n v="60"/>
    <x v="1"/>
    <x v="1"/>
    <x v="1"/>
    <x v="1"/>
  </r>
  <r>
    <x v="28"/>
    <x v="5"/>
    <x v="2"/>
    <x v="0"/>
    <x v="1"/>
    <n v="1"/>
    <n v="340.59"/>
    <n v="340.59"/>
    <n v="275.08999999999997"/>
    <n v="65.5"/>
    <x v="2"/>
    <x v="2"/>
    <x v="2"/>
    <x v="2"/>
  </r>
  <r>
    <x v="43"/>
    <x v="12"/>
    <x v="2"/>
    <x v="0"/>
    <x v="0"/>
    <n v="2"/>
    <n v="362.31"/>
    <n v="724.62"/>
    <n v="675.62"/>
    <n v="49"/>
    <x v="0"/>
    <x v="0"/>
    <x v="3"/>
    <x v="0"/>
  </r>
  <r>
    <x v="89"/>
    <x v="14"/>
    <x v="3"/>
    <x v="2"/>
    <x v="2"/>
    <n v="8"/>
    <n v="418.71"/>
    <n v="3349.68"/>
    <n v="3309.68"/>
    <n v="40"/>
    <x v="1"/>
    <x v="1"/>
    <x v="0"/>
    <x v="1"/>
  </r>
  <r>
    <x v="90"/>
    <x v="2"/>
    <x v="1"/>
    <x v="0"/>
    <x v="3"/>
    <n v="6"/>
    <n v="111.13"/>
    <n v="666.78"/>
    <n v="606.78"/>
    <n v="60"/>
    <x v="2"/>
    <x v="0"/>
    <x v="1"/>
    <x v="2"/>
  </r>
  <r>
    <x v="91"/>
    <x v="14"/>
    <x v="3"/>
    <x v="2"/>
    <x v="2"/>
    <n v="9"/>
    <n v="484.72"/>
    <n v="4362.4799999999996"/>
    <n v="4296.9799999999996"/>
    <n v="65.5"/>
    <x v="0"/>
    <x v="0"/>
    <x v="2"/>
    <x v="0"/>
  </r>
  <r>
    <x v="92"/>
    <x v="6"/>
    <x v="1"/>
    <x v="2"/>
    <x v="1"/>
    <n v="1"/>
    <n v="67.53"/>
    <n v="67.53"/>
    <n v="18.53"/>
    <n v="49"/>
    <x v="1"/>
    <x v="1"/>
    <x v="3"/>
    <x v="1"/>
  </r>
  <r>
    <x v="89"/>
    <x v="13"/>
    <x v="2"/>
    <x v="2"/>
    <x v="1"/>
    <n v="2"/>
    <n v="368.03"/>
    <n v="736.06"/>
    <n v="696.06"/>
    <n v="40"/>
    <x v="2"/>
    <x v="0"/>
    <x v="0"/>
    <x v="2"/>
  </r>
  <r>
    <x v="93"/>
    <x v="4"/>
    <x v="0"/>
    <x v="4"/>
    <x v="1"/>
    <n v="1"/>
    <n v="372.87"/>
    <n v="372.87"/>
    <n v="312.87"/>
    <n v="60"/>
    <x v="0"/>
    <x v="2"/>
    <x v="1"/>
    <x v="0"/>
  </r>
  <r>
    <x v="94"/>
    <x v="0"/>
    <x v="0"/>
    <x v="2"/>
    <x v="3"/>
    <n v="10"/>
    <n v="51.96"/>
    <n v="519.6"/>
    <n v="454.1"/>
    <n v="65.5"/>
    <x v="1"/>
    <x v="1"/>
    <x v="2"/>
    <x v="1"/>
  </r>
  <r>
    <x v="95"/>
    <x v="15"/>
    <x v="4"/>
    <x v="3"/>
    <x v="1"/>
    <n v="8"/>
    <n v="434.36"/>
    <n v="3474.88"/>
    <n v="3425.88"/>
    <n v="49"/>
    <x v="2"/>
    <x v="0"/>
    <x v="3"/>
    <x v="2"/>
  </r>
  <r>
    <x v="13"/>
    <x v="16"/>
    <x v="1"/>
    <x v="1"/>
    <x v="2"/>
    <n v="3"/>
    <n v="400.96"/>
    <n v="1202.8800000000001"/>
    <n v="1162.8800000000001"/>
    <n v="40"/>
    <x v="0"/>
    <x v="1"/>
    <x v="0"/>
    <x v="0"/>
  </r>
  <r>
    <x v="43"/>
    <x v="15"/>
    <x v="4"/>
    <x v="4"/>
    <x v="1"/>
    <n v="1"/>
    <n v="55.02"/>
    <n v="55.02"/>
    <n v="-4.9800000000000004"/>
    <n v="60"/>
    <x v="1"/>
    <x v="0"/>
    <x v="1"/>
    <x v="1"/>
  </r>
  <r>
    <x v="96"/>
    <x v="12"/>
    <x v="2"/>
    <x v="0"/>
    <x v="2"/>
    <n v="5"/>
    <n v="187.23"/>
    <n v="936.15"/>
    <n v="870.65"/>
    <n v="65.5"/>
    <x v="2"/>
    <x v="0"/>
    <x v="2"/>
    <x v="2"/>
  </r>
  <r>
    <x v="97"/>
    <x v="13"/>
    <x v="2"/>
    <x v="3"/>
    <x v="1"/>
    <n v="9"/>
    <n v="202.72"/>
    <n v="1824.48"/>
    <n v="1775.48"/>
    <n v="49"/>
    <x v="0"/>
    <x v="1"/>
    <x v="3"/>
    <x v="0"/>
  </r>
  <r>
    <x v="98"/>
    <x v="13"/>
    <x v="2"/>
    <x v="0"/>
    <x v="2"/>
    <n v="3"/>
    <n v="276.01"/>
    <n v="828.03"/>
    <n v="788.03"/>
    <n v="40"/>
    <x v="1"/>
    <x v="2"/>
    <x v="0"/>
    <x v="1"/>
  </r>
  <r>
    <x v="99"/>
    <x v="8"/>
    <x v="3"/>
    <x v="4"/>
    <x v="1"/>
    <n v="10"/>
    <n v="281.43"/>
    <n v="2814.3"/>
    <n v="2754.3"/>
    <n v="60"/>
    <x v="2"/>
    <x v="0"/>
    <x v="1"/>
    <x v="2"/>
  </r>
  <r>
    <x v="100"/>
    <x v="15"/>
    <x v="4"/>
    <x v="3"/>
    <x v="2"/>
    <n v="7"/>
    <n v="483.02"/>
    <n v="3381.14"/>
    <n v="3315.64"/>
    <n v="65.5"/>
    <x v="0"/>
    <x v="1"/>
    <x v="2"/>
    <x v="0"/>
  </r>
  <r>
    <x v="101"/>
    <x v="14"/>
    <x v="3"/>
    <x v="3"/>
    <x v="0"/>
    <n v="10"/>
    <n v="84.68"/>
    <n v="846.8"/>
    <n v="797.8"/>
    <n v="49"/>
    <x v="1"/>
    <x v="0"/>
    <x v="3"/>
    <x v="1"/>
  </r>
  <r>
    <x v="102"/>
    <x v="5"/>
    <x v="2"/>
    <x v="0"/>
    <x v="3"/>
    <n v="3"/>
    <n v="306.7"/>
    <n v="920.1"/>
    <n v="880.1"/>
    <n v="40"/>
    <x v="2"/>
    <x v="0"/>
    <x v="0"/>
    <x v="2"/>
  </r>
  <r>
    <x v="103"/>
    <x v="5"/>
    <x v="2"/>
    <x v="3"/>
    <x v="2"/>
    <n v="2"/>
    <n v="68.94"/>
    <n v="137.88"/>
    <n v="77.88"/>
    <n v="60"/>
    <x v="0"/>
    <x v="2"/>
    <x v="1"/>
    <x v="0"/>
  </r>
  <r>
    <x v="104"/>
    <x v="10"/>
    <x v="2"/>
    <x v="0"/>
    <x v="3"/>
    <n v="7"/>
    <n v="483.1"/>
    <n v="3381.7"/>
    <n v="3316.2"/>
    <n v="65.5"/>
    <x v="1"/>
    <x v="0"/>
    <x v="2"/>
    <x v="1"/>
  </r>
  <r>
    <x v="105"/>
    <x v="15"/>
    <x v="4"/>
    <x v="3"/>
    <x v="1"/>
    <n v="2"/>
    <n v="439.62"/>
    <n v="879.24"/>
    <n v="830.24"/>
    <n v="49"/>
    <x v="2"/>
    <x v="1"/>
    <x v="3"/>
    <x v="2"/>
  </r>
  <r>
    <x v="57"/>
    <x v="14"/>
    <x v="3"/>
    <x v="4"/>
    <x v="3"/>
    <n v="9"/>
    <n v="153.18"/>
    <n v="1378.62"/>
    <n v="1338.62"/>
    <n v="40"/>
    <x v="0"/>
    <x v="0"/>
    <x v="0"/>
    <x v="0"/>
  </r>
  <r>
    <x v="102"/>
    <x v="8"/>
    <x v="3"/>
    <x v="3"/>
    <x v="0"/>
    <n v="5"/>
    <n v="51.53"/>
    <n v="257.64999999999998"/>
    <n v="197.65"/>
    <n v="60"/>
    <x v="1"/>
    <x v="0"/>
    <x v="1"/>
    <x v="1"/>
  </r>
  <r>
    <x v="106"/>
    <x v="6"/>
    <x v="1"/>
    <x v="2"/>
    <x v="3"/>
    <n v="4"/>
    <n v="231.62"/>
    <n v="926.48"/>
    <n v="860.98"/>
    <n v="65.5"/>
    <x v="2"/>
    <x v="1"/>
    <x v="2"/>
    <x v="2"/>
  </r>
  <r>
    <x v="86"/>
    <x v="9"/>
    <x v="3"/>
    <x v="3"/>
    <x v="2"/>
    <n v="5"/>
    <n v="303.83999999999997"/>
    <n v="1519.2"/>
    <n v="1470.2"/>
    <n v="49"/>
    <x v="0"/>
    <x v="2"/>
    <x v="3"/>
    <x v="0"/>
  </r>
  <r>
    <x v="0"/>
    <x v="9"/>
    <x v="3"/>
    <x v="4"/>
    <x v="3"/>
    <n v="9"/>
    <n v="374.31"/>
    <n v="3368.79"/>
    <n v="3328.79"/>
    <n v="40"/>
    <x v="1"/>
    <x v="0"/>
    <x v="0"/>
    <x v="1"/>
  </r>
  <r>
    <x v="107"/>
    <x v="5"/>
    <x v="2"/>
    <x v="4"/>
    <x v="1"/>
    <n v="5"/>
    <n v="158.87"/>
    <n v="794.35"/>
    <n v="734.35"/>
    <n v="60"/>
    <x v="2"/>
    <x v="0"/>
    <x v="1"/>
    <x v="2"/>
  </r>
  <r>
    <x v="108"/>
    <x v="18"/>
    <x v="1"/>
    <x v="4"/>
    <x v="3"/>
    <n v="3"/>
    <n v="174.34"/>
    <n v="523.02"/>
    <n v="457.52"/>
    <n v="65.5"/>
    <x v="0"/>
    <x v="0"/>
    <x v="2"/>
    <x v="0"/>
  </r>
  <r>
    <x v="109"/>
    <x v="16"/>
    <x v="1"/>
    <x v="1"/>
    <x v="3"/>
    <n v="6"/>
    <n v="237.96"/>
    <n v="1427.76"/>
    <n v="1378.76"/>
    <n v="49"/>
    <x v="1"/>
    <x v="1"/>
    <x v="3"/>
    <x v="1"/>
  </r>
  <r>
    <x v="20"/>
    <x v="6"/>
    <x v="1"/>
    <x v="0"/>
    <x v="0"/>
    <n v="1"/>
    <n v="347.92"/>
    <n v="347.92"/>
    <n v="307.92"/>
    <n v="40"/>
    <x v="2"/>
    <x v="2"/>
    <x v="0"/>
    <x v="2"/>
  </r>
  <r>
    <x v="110"/>
    <x v="12"/>
    <x v="2"/>
    <x v="0"/>
    <x v="3"/>
    <n v="9"/>
    <n v="227.15"/>
    <n v="2044.35"/>
    <n v="1984.35"/>
    <n v="60"/>
    <x v="0"/>
    <x v="0"/>
    <x v="1"/>
    <x v="0"/>
  </r>
  <r>
    <x v="77"/>
    <x v="14"/>
    <x v="3"/>
    <x v="1"/>
    <x v="2"/>
    <n v="7"/>
    <n v="459.54"/>
    <n v="3216.78"/>
    <n v="3151.28"/>
    <n v="65.5"/>
    <x v="1"/>
    <x v="0"/>
    <x v="2"/>
    <x v="1"/>
  </r>
  <r>
    <x v="111"/>
    <x v="15"/>
    <x v="4"/>
    <x v="2"/>
    <x v="1"/>
    <n v="8"/>
    <n v="103.76"/>
    <n v="830.08"/>
    <n v="781.08"/>
    <n v="49"/>
    <x v="2"/>
    <x v="1"/>
    <x v="3"/>
    <x v="2"/>
  </r>
  <r>
    <x v="112"/>
    <x v="4"/>
    <x v="0"/>
    <x v="1"/>
    <x v="2"/>
    <n v="4"/>
    <n v="162.47999999999999"/>
    <n v="649.91999999999996"/>
    <n v="609.91999999999996"/>
    <n v="40"/>
    <x v="0"/>
    <x v="0"/>
    <x v="0"/>
    <x v="0"/>
  </r>
  <r>
    <x v="113"/>
    <x v="9"/>
    <x v="3"/>
    <x v="0"/>
    <x v="1"/>
    <n v="10"/>
    <n v="276.17"/>
    <n v="2761.7"/>
    <n v="2701.7"/>
    <n v="60"/>
    <x v="1"/>
    <x v="2"/>
    <x v="1"/>
    <x v="1"/>
  </r>
  <r>
    <x v="114"/>
    <x v="19"/>
    <x v="4"/>
    <x v="1"/>
    <x v="0"/>
    <n v="1"/>
    <n v="154.79"/>
    <n v="154.79"/>
    <n v="89.29"/>
    <n v="65.5"/>
    <x v="2"/>
    <x v="0"/>
    <x v="2"/>
    <x v="2"/>
  </r>
  <r>
    <x v="115"/>
    <x v="0"/>
    <x v="0"/>
    <x v="0"/>
    <x v="3"/>
    <n v="6"/>
    <n v="482.61"/>
    <n v="2895.66"/>
    <n v="2846.66"/>
    <n v="49"/>
    <x v="0"/>
    <x v="1"/>
    <x v="3"/>
    <x v="0"/>
  </r>
  <r>
    <x v="116"/>
    <x v="18"/>
    <x v="1"/>
    <x v="2"/>
    <x v="3"/>
    <n v="1"/>
    <n v="96.33"/>
    <n v="96.33"/>
    <n v="56.33"/>
    <n v="40"/>
    <x v="1"/>
    <x v="2"/>
    <x v="0"/>
    <x v="1"/>
  </r>
  <r>
    <x v="117"/>
    <x v="19"/>
    <x v="4"/>
    <x v="1"/>
    <x v="3"/>
    <n v="6"/>
    <n v="465.34"/>
    <n v="2792.04"/>
    <n v="2732.04"/>
    <n v="60"/>
    <x v="2"/>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Sales per categories"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E3:F9" firstHeaderRow="1" firstDataRow="1" firstDataCol="1"/>
  <pivotFields count="14">
    <pivotField showAll="0"/>
    <pivotField showAll="0"/>
    <pivotField axis="axisRow" showAll="0" sortType="a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items count="4">
        <item x="2"/>
        <item x="0"/>
        <item x="1"/>
        <item t="default"/>
      </items>
    </pivotField>
  </pivotFields>
  <rowFields count="1">
    <field x="2"/>
  </rowFields>
  <rowItems count="6">
    <i>
      <x v="1"/>
    </i>
    <i>
      <x/>
    </i>
    <i>
      <x v="2"/>
    </i>
    <i>
      <x v="3"/>
    </i>
    <i>
      <x v="4"/>
    </i>
    <i t="grand">
      <x/>
    </i>
  </rowItems>
  <colItems count="1">
    <i/>
  </colItems>
  <dataFields count="1">
    <dataField name="Sales per categories" fld="7" baseField="0" baseItem="0"/>
  </dataFields>
  <formats count="1">
    <format dxfId="2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Ranking for region managers"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K3:L8" firstHeaderRow="1" firstDataRow="1" firstDataCol="1"/>
  <pivotFields count="14">
    <pivotField showAll="0"/>
    <pivotField showAll="0"/>
    <pivotField showAll="0"/>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name="Ranking for region managers" axis="axisRow" showAll="0" sortType="ascending">
      <items count="5">
        <item x="0"/>
        <item x="2"/>
        <item x="3"/>
        <item x="1"/>
        <item t="default"/>
      </items>
    </pivotField>
    <pivotField showAll="0">
      <items count="4">
        <item x="2"/>
        <item x="0"/>
        <item x="1"/>
        <item t="default"/>
      </items>
    </pivotField>
  </pivotFields>
  <rowFields count="1">
    <field x="12"/>
  </rowFields>
  <rowItems count="5">
    <i>
      <x/>
    </i>
    <i>
      <x v="1"/>
    </i>
    <i>
      <x v="2"/>
    </i>
    <i>
      <x v="3"/>
    </i>
    <i t="grand">
      <x/>
    </i>
  </rowItems>
  <colItems count="1">
    <i/>
  </colItems>
  <dataFields count="1">
    <dataField name="Sum of Total Sale" fld="7" baseField="0" baseItem="0"/>
  </dataFields>
  <formats count="1">
    <format dxfId="2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op 4 Sellers "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Q3:R9" firstHeaderRow="1" firstDataRow="1" firstDataCol="1"/>
  <pivotFields count="14">
    <pivotField showAll="0"/>
    <pivotField showAll="0"/>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items count="4">
        <item x="2"/>
        <item x="0"/>
        <item x="1"/>
        <item t="default"/>
      </items>
    </pivotField>
  </pivotFields>
  <rowFields count="1">
    <field x="3"/>
  </rowFields>
  <rowItems count="6">
    <i>
      <x/>
    </i>
    <i>
      <x v="4"/>
    </i>
    <i>
      <x v="3"/>
    </i>
    <i>
      <x v="2"/>
    </i>
    <i>
      <x v="1"/>
    </i>
    <i t="grand">
      <x/>
    </i>
  </rowItems>
  <colItems count="1">
    <i/>
  </colItems>
  <dataFields count="1">
    <dataField name="Top 4 Sellers " fld="7" baseField="0" baseItem="0"/>
  </dataFields>
  <formats count="1">
    <format dxfId="2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Sales By Category"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N3:O9" firstHeaderRow="1" firstDataRow="1" firstDataCol="1"/>
  <pivotFields count="14">
    <pivotField showAll="0">
      <items count="119">
        <item x="90"/>
        <item x="85"/>
        <item x="86"/>
        <item x="34"/>
        <item x="63"/>
        <item x="20"/>
        <item x="99"/>
        <item x="21"/>
        <item x="33"/>
        <item x="70"/>
        <item x="107"/>
        <item x="116"/>
        <item x="46"/>
        <item x="101"/>
        <item x="74"/>
        <item x="57"/>
        <item x="35"/>
        <item x="25"/>
        <item x="81"/>
        <item x="67"/>
        <item x="9"/>
        <item x="59"/>
        <item x="16"/>
        <item x="73"/>
        <item x="55"/>
        <item x="104"/>
        <item x="102"/>
        <item x="2"/>
        <item x="80"/>
        <item x="26"/>
        <item x="6"/>
        <item x="115"/>
        <item x="93"/>
        <item x="78"/>
        <item x="111"/>
        <item x="0"/>
        <item x="28"/>
        <item x="12"/>
        <item x="45"/>
        <item x="87"/>
        <item x="39"/>
        <item x="66"/>
        <item x="97"/>
        <item x="37"/>
        <item x="19"/>
        <item x="110"/>
        <item x="22"/>
        <item x="56"/>
        <item x="112"/>
        <item x="31"/>
        <item x="109"/>
        <item x="69"/>
        <item x="3"/>
        <item x="77"/>
        <item x="10"/>
        <item x="84"/>
        <item x="11"/>
        <item x="48"/>
        <item x="83"/>
        <item x="58"/>
        <item x="64"/>
        <item x="89"/>
        <item x="4"/>
        <item x="17"/>
        <item x="79"/>
        <item x="105"/>
        <item x="38"/>
        <item x="65"/>
        <item x="27"/>
        <item x="96"/>
        <item x="14"/>
        <item x="41"/>
        <item x="42"/>
        <item x="49"/>
        <item x="75"/>
        <item x="8"/>
        <item x="88"/>
        <item x="61"/>
        <item x="53"/>
        <item x="54"/>
        <item x="82"/>
        <item x="60"/>
        <item x="62"/>
        <item x="36"/>
        <item x="32"/>
        <item x="98"/>
        <item x="114"/>
        <item x="30"/>
        <item x="15"/>
        <item x="29"/>
        <item x="18"/>
        <item x="95"/>
        <item x="50"/>
        <item x="1"/>
        <item x="94"/>
        <item x="43"/>
        <item x="72"/>
        <item x="40"/>
        <item x="5"/>
        <item x="47"/>
        <item x="76"/>
        <item x="51"/>
        <item x="117"/>
        <item x="68"/>
        <item x="103"/>
        <item x="7"/>
        <item x="108"/>
        <item x="92"/>
        <item x="52"/>
        <item x="106"/>
        <item x="100"/>
        <item x="24"/>
        <item x="91"/>
        <item x="44"/>
        <item x="13"/>
        <item x="71"/>
        <item x="23"/>
        <item x="113"/>
        <item t="default"/>
      </items>
    </pivotField>
    <pivotField showAll="0"/>
    <pivotField axis="axisRow" showAll="0" sortType="ascending">
      <items count="6">
        <item x="4"/>
        <item x="1"/>
        <item x="2"/>
        <item x="0"/>
        <item x="3"/>
        <item t="default"/>
      </items>
    </pivotField>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items count="4">
        <item x="2"/>
        <item x="0"/>
        <item x="1"/>
        <item t="default"/>
      </items>
    </pivotField>
  </pivotFields>
  <rowFields count="1">
    <field x="2"/>
  </rowFields>
  <rowItems count="6">
    <i>
      <x/>
    </i>
    <i>
      <x v="1"/>
    </i>
    <i>
      <x v="2"/>
    </i>
    <i>
      <x v="3"/>
    </i>
    <i>
      <x v="4"/>
    </i>
    <i t="grand">
      <x/>
    </i>
  </rowItems>
  <colItems count="1">
    <i/>
  </colItems>
  <dataFields count="1">
    <dataField name="Sales By Category" fld="7" baseField="0" baseItem="0"/>
  </dataFields>
  <formats count="1">
    <format dxfId="22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rofit per region"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T3:V7" firstHeaderRow="0" firstDataRow="1" firstDataCol="1"/>
  <pivotFields count="14">
    <pivotField showAll="0"/>
    <pivotField showAll="0">
      <items count="21">
        <item x="12"/>
        <item x="3"/>
        <item x="1"/>
        <item x="9"/>
        <item x="17"/>
        <item x="14"/>
        <item x="13"/>
        <item x="18"/>
        <item x="16"/>
        <item x="4"/>
        <item x="5"/>
        <item x="19"/>
        <item x="11"/>
        <item x="15"/>
        <item x="10"/>
        <item x="2"/>
        <item x="0"/>
        <item x="8"/>
        <item x="6"/>
        <item x="7"/>
        <item t="default"/>
      </items>
    </pivotField>
    <pivotField showAll="0">
      <items count="6">
        <item x="4"/>
        <item x="1"/>
        <item x="2"/>
        <item x="0"/>
        <item x="3"/>
        <item t="default"/>
      </items>
    </pivotField>
    <pivotField showAll="0"/>
    <pivotField showAll="0">
      <items count="5">
        <item x="1"/>
        <item x="3"/>
        <item x="2"/>
        <item x="0"/>
        <item t="default"/>
      </items>
    </pivotField>
    <pivotField dataField="1" showAll="0"/>
    <pivotField showAll="0"/>
    <pivotField showAll="0"/>
    <pivotField showAll="0"/>
    <pivotField showAll="0"/>
    <pivotField showAll="0">
      <items count="4">
        <item x="1"/>
        <item x="0"/>
        <item x="2"/>
        <item t="default"/>
      </items>
    </pivotField>
    <pivotField axis="axisRow" showAll="0">
      <items count="4">
        <item x="2"/>
        <item x="0"/>
        <item x="1"/>
        <item t="default"/>
      </items>
    </pivotField>
    <pivotField showAll="0"/>
    <pivotField showAll="0">
      <items count="4">
        <item x="2"/>
        <item x="0"/>
        <item x="1"/>
        <item t="default"/>
      </items>
    </pivotField>
  </pivotFields>
  <rowFields count="1">
    <field x="11"/>
  </rowFields>
  <rowItems count="4">
    <i>
      <x/>
    </i>
    <i>
      <x v="1"/>
    </i>
    <i>
      <x v="2"/>
    </i>
    <i t="grand">
      <x/>
    </i>
  </rowItems>
  <colFields count="1">
    <field x="-2"/>
  </colFields>
  <colItems count="2">
    <i>
      <x/>
    </i>
    <i i="1">
      <x v="1"/>
    </i>
  </colItems>
  <dataFields count="2">
    <dataField name="profit per region " fld="5" baseField="0" baseItem="0"/>
    <dataField name="Sum of Quantity Sold2" fld="5" baseField="0" baseItem="0"/>
  </dataFields>
  <formats count="1">
    <format dxfId="2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Sales per region"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H3:I8" firstHeaderRow="1" firstDataRow="1" firstDataCol="1"/>
  <pivotFields count="14">
    <pivotField showAll="0"/>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4">
        <item x="1"/>
        <item x="0"/>
        <item x="2"/>
        <item t="default"/>
      </items>
    </pivotField>
    <pivotField showAll="0"/>
    <pivotField showAll="0"/>
    <pivotField showAll="0">
      <items count="4">
        <item x="2"/>
        <item x="0"/>
        <item x="1"/>
        <item t="default"/>
      </items>
    </pivotField>
  </pivotFields>
  <rowFields count="1">
    <field x="4"/>
  </rowFields>
  <rowItems count="5">
    <i>
      <x v="3"/>
    </i>
    <i>
      <x v="1"/>
    </i>
    <i>
      <x/>
    </i>
    <i>
      <x v="2"/>
    </i>
    <i t="grand">
      <x/>
    </i>
  </rowItems>
  <colItems count="1">
    <i/>
  </colItems>
  <dataFields count="1">
    <dataField name="Sales per region " fld="7" baseField="0" baseItem="0"/>
  </dataFields>
  <formats count="1">
    <format dxfId="228">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rofit per region "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B8" firstHeaderRow="1" firstDataRow="1" firstDataCol="1"/>
  <pivotFields count="14">
    <pivotField showAll="0"/>
    <pivotField showAll="0"/>
    <pivotField showAll="0"/>
    <pivotField showAll="0"/>
    <pivotField name="profit per region " axis="axisRow" showAll="0">
      <items count="5">
        <item x="1"/>
        <item x="3"/>
        <item x="2"/>
        <item x="0"/>
        <item t="default"/>
      </items>
    </pivotField>
    <pivotField showAll="0"/>
    <pivotField showAll="0"/>
    <pivotField showAll="0"/>
    <pivotField showAll="0"/>
    <pivotField dataField="1" showAll="0"/>
    <pivotField showAll="0">
      <items count="4">
        <item x="1"/>
        <item x="0"/>
        <item x="2"/>
        <item t="default"/>
      </items>
    </pivotField>
    <pivotField showAll="0"/>
    <pivotField showAll="0"/>
    <pivotField showAll="0">
      <items count="4">
        <item x="2"/>
        <item x="0"/>
        <item x="1"/>
        <item t="default"/>
      </items>
    </pivotField>
  </pivotFields>
  <rowFields count="1">
    <field x="4"/>
  </rowFields>
  <rowItems count="5">
    <i>
      <x/>
    </i>
    <i>
      <x v="1"/>
    </i>
    <i>
      <x v="2"/>
    </i>
    <i>
      <x v="3"/>
    </i>
    <i t="grand">
      <x/>
    </i>
  </rowItems>
  <colItems count="1">
    <i/>
  </colItems>
  <dataFields count="1">
    <dataField name="Sum of Profit" fld="9" baseField="0" baseItem="0" numFmtId="164"/>
  </dataFields>
  <formats count="1">
    <format dxfId="2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49E502F-8CC6-42AA-86C3-A3E3B6803437}" sourceName="Customer Type">
  <pivotTables>
    <pivotTable tabId="5" name="Sales per categories"/>
    <pivotTable tabId="5" name="profit per region"/>
    <pivotTable tabId="5" name="profit per region "/>
    <pivotTable tabId="5" name="Ranking for region managers"/>
    <pivotTable tabId="5" name="Sales By Category"/>
    <pivotTable tabId="5" name="Sales per region"/>
    <pivotTable tabId="5" name="Top 4 Sellers "/>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655E509-A19E-4B39-A023-5906F070A7CE}" sourceName="Payment Method">
  <pivotTables>
    <pivotTable tabId="5" name="Sales per region"/>
    <pivotTable tabId="5" name="profit per region"/>
    <pivotTable tabId="5" name="profit per region "/>
    <pivotTable tabId="5" name="Ranking for region managers"/>
    <pivotTable tabId="5" name="Sales By Category"/>
    <pivotTable tabId="5" name="Sales per categories"/>
    <pivotTable tabId="5" name="Top 4 Sellers "/>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8D9FD3-04B3-47B6-8344-0C87CC41F6E4}" sourceName="Region">
  <pivotTables>
    <pivotTable tabId="5" name="Ranking for region managers"/>
    <pivotTable tabId="5" name="profit per region"/>
    <pivotTable tabId="5" name="profit per region "/>
    <pivotTable tabId="5" name="Sales By Category"/>
    <pivotTable tabId="5" name="Sales per categories"/>
    <pivotTable tabId="5" name="Sales per region"/>
    <pivotTable tabId="5" name="Top 4 Sellers "/>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57878BEB-6C34-4840-9420-BB03187C106D}" cache="Slicer_Customer_Type" style="Slicer Style 2" lockedPosition="1" rowHeight="1005840"/>
  <slicer name="Payment Method" xr10:uid="{C93070CE-727E-4AF6-BB0C-0B94AA80E3D9}" cache="Slicer_Payment_Method" style="Slicer Style 2" lockedPosition="1" rowHeight="1005840"/>
  <slicer name="Region" xr10:uid="{EACD7BC0-0B34-4CDB-8145-C9ABEF55AF5F}" cache="Slicer_Region" style="Slicer Style 2" lockedPosition="1" rowHeight="10058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51" totalsRowShown="0" headerRowDxfId="248" dataDxfId="247">
  <autoFilter ref="A1:O151" xr:uid="{00000000-0009-0000-0100-000001000000}"/>
  <tableColumns count="15">
    <tableColumn id="1" xr3:uid="{00000000-0010-0000-0000-000001000000}" name="Date" dataDxfId="232"/>
    <tableColumn id="2" xr3:uid="{00000000-0010-0000-0000-000002000000}" name="Product Name" dataDxfId="233"/>
    <tableColumn id="3" xr3:uid="{00000000-0010-0000-0000-000003000000}" name="Category" dataDxfId="246"/>
    <tableColumn id="4" xr3:uid="{00000000-0010-0000-0000-000004000000}" name="Sales Representative" dataDxfId="245"/>
    <tableColumn id="5" xr3:uid="{00000000-0010-0000-0000-000005000000}" name="Region" dataDxfId="244"/>
    <tableColumn id="6" xr3:uid="{00000000-0010-0000-0000-000006000000}" name="Quantity Sold" dataDxfId="243"/>
    <tableColumn id="7" xr3:uid="{00000000-0010-0000-0000-000007000000}" name="Unit Price" dataDxfId="242"/>
    <tableColumn id="8" xr3:uid="{00000000-0010-0000-0000-000008000000}" name="Total Sale" dataDxfId="241"/>
    <tableColumn id="9" xr3:uid="{00000000-0010-0000-0000-000009000000}" name="Cost Price" dataDxfId="240"/>
    <tableColumn id="10" xr3:uid="{00000000-0010-0000-0000-00000A000000}" name="Profit" dataDxfId="239"/>
    <tableColumn id="11" xr3:uid="{00000000-0010-0000-0000-00000B000000}" name="Payment Method" dataDxfId="238"/>
    <tableColumn id="12" xr3:uid="{00000000-0010-0000-0000-00000C000000}" name="Order Status" dataDxfId="237"/>
    <tableColumn id="13" xr3:uid="{00000000-0010-0000-0000-00000D000000}" name="Region Manager" dataDxfId="236"/>
    <tableColumn id="14" xr3:uid="{00000000-0010-0000-0000-00000E000000}" name="Customer Type" dataDxfId="235"/>
    <tableColumn id="15" xr3:uid="{00000000-0010-0000-0000-00000F000000}" name="Column1" dataDxfId="23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1"/>
  <sheetViews>
    <sheetView showGridLines="0" workbookViewId="0"/>
  </sheetViews>
  <sheetFormatPr defaultRowHeight="14.25"/>
  <cols>
    <col min="1" max="1" width="11.5703125" style="1" bestFit="1" customWidth="1"/>
    <col min="2" max="2" width="19.140625" style="2" bestFit="1" customWidth="1"/>
    <col min="3" max="3" width="14" style="2" bestFit="1" customWidth="1"/>
    <col min="4" max="4" width="25" style="2" customWidth="1"/>
    <col min="5" max="5" width="12.140625" style="2" bestFit="1" customWidth="1"/>
    <col min="6" max="6" width="18.140625" style="2" bestFit="1" customWidth="1"/>
    <col min="7" max="7" width="14.5703125" style="2" bestFit="1" customWidth="1"/>
    <col min="8" max="8" width="14.85546875" style="2" bestFit="1" customWidth="1"/>
    <col min="9" max="9" width="15.42578125" style="2" bestFit="1" customWidth="1"/>
    <col min="10" max="10" width="10.42578125" style="2" bestFit="1" customWidth="1"/>
    <col min="11" max="11" width="20" style="2" customWidth="1"/>
    <col min="12" max="12" width="16.140625" style="2" customWidth="1"/>
    <col min="13" max="13" width="19.85546875" style="2" customWidth="1"/>
    <col min="14" max="14" width="18.5703125" style="2" customWidth="1"/>
    <col min="15" max="16384" width="9.140625" style="2"/>
  </cols>
  <sheetData>
    <row r="1" spans="1:15" s="4" customFormat="1">
      <c r="A1" s="3" t="s">
        <v>0</v>
      </c>
      <c r="B1" s="4" t="s">
        <v>1</v>
      </c>
      <c r="C1" s="4" t="s">
        <v>2</v>
      </c>
      <c r="D1" s="4" t="s">
        <v>3</v>
      </c>
      <c r="E1" s="4" t="s">
        <v>4</v>
      </c>
      <c r="F1" s="4" t="s">
        <v>5</v>
      </c>
      <c r="G1" s="4" t="s">
        <v>6</v>
      </c>
      <c r="H1" s="4" t="s">
        <v>7</v>
      </c>
      <c r="I1" s="4" t="s">
        <v>8</v>
      </c>
      <c r="J1" s="4" t="s">
        <v>9</v>
      </c>
      <c r="K1" s="4" t="s">
        <v>10</v>
      </c>
      <c r="L1" s="4" t="s">
        <v>11</v>
      </c>
      <c r="M1" s="4" t="s">
        <v>12</v>
      </c>
      <c r="N1" s="4" t="s">
        <v>13</v>
      </c>
      <c r="O1" s="4" t="s">
        <v>145</v>
      </c>
    </row>
    <row r="2" spans="1:15">
      <c r="A2" s="1" t="s">
        <v>14</v>
      </c>
      <c r="B2" s="2" t="s">
        <v>15</v>
      </c>
      <c r="C2" s="2" t="s">
        <v>16</v>
      </c>
      <c r="D2" s="2" t="s">
        <v>17</v>
      </c>
      <c r="E2" s="2" t="s">
        <v>18</v>
      </c>
      <c r="F2" s="2">
        <v>1</v>
      </c>
      <c r="G2" s="2">
        <v>91.81</v>
      </c>
      <c r="H2" s="2">
        <v>91.81</v>
      </c>
      <c r="I2" s="2">
        <v>51.81</v>
      </c>
      <c r="J2" s="2">
        <v>40</v>
      </c>
      <c r="K2" s="2" t="s">
        <v>19</v>
      </c>
      <c r="L2" s="2" t="s">
        <v>20</v>
      </c>
      <c r="M2" s="2" t="s">
        <v>21</v>
      </c>
      <c r="N2" s="2" t="s">
        <v>22</v>
      </c>
    </row>
    <row r="3" spans="1:15">
      <c r="A3" s="1">
        <v>45453</v>
      </c>
      <c r="B3" s="2" t="s">
        <v>23</v>
      </c>
      <c r="C3" s="2" t="s">
        <v>16</v>
      </c>
      <c r="D3" s="2" t="s">
        <v>24</v>
      </c>
      <c r="E3" s="2" t="s">
        <v>25</v>
      </c>
      <c r="F3" s="2">
        <v>9</v>
      </c>
      <c r="G3" s="2">
        <v>462.17</v>
      </c>
      <c r="H3" s="2">
        <v>4159.53</v>
      </c>
      <c r="I3" s="2">
        <v>4099.53</v>
      </c>
      <c r="J3" s="2">
        <v>60</v>
      </c>
      <c r="K3" s="2" t="s">
        <v>26</v>
      </c>
      <c r="L3" s="2" t="s">
        <v>27</v>
      </c>
      <c r="M3" s="2" t="s">
        <v>28</v>
      </c>
      <c r="N3" s="2" t="s">
        <v>29</v>
      </c>
    </row>
    <row r="4" spans="1:15">
      <c r="A4" s="1" t="s">
        <v>30</v>
      </c>
      <c r="B4" s="2" t="s">
        <v>31</v>
      </c>
      <c r="C4" s="2" t="s">
        <v>32</v>
      </c>
      <c r="D4" s="2" t="s">
        <v>24</v>
      </c>
      <c r="E4" s="2" t="s">
        <v>33</v>
      </c>
      <c r="F4" s="2">
        <v>7</v>
      </c>
      <c r="G4" s="2">
        <v>198.67</v>
      </c>
      <c r="H4" s="2">
        <v>1390.69</v>
      </c>
      <c r="I4" s="2">
        <v>1325.19</v>
      </c>
      <c r="J4" s="2">
        <v>65.5</v>
      </c>
      <c r="K4" s="2" t="s">
        <v>34</v>
      </c>
      <c r="L4" s="2" t="s">
        <v>35</v>
      </c>
      <c r="M4" s="2" t="s">
        <v>36</v>
      </c>
      <c r="N4" s="2" t="s">
        <v>37</v>
      </c>
    </row>
    <row r="5" spans="1:15">
      <c r="A5" s="1" t="s">
        <v>38</v>
      </c>
      <c r="B5" s="2" t="s">
        <v>39</v>
      </c>
      <c r="C5" s="2" t="s">
        <v>16</v>
      </c>
      <c r="D5" s="2" t="s">
        <v>24</v>
      </c>
      <c r="E5" s="2" t="s">
        <v>33</v>
      </c>
      <c r="F5" s="2">
        <v>6</v>
      </c>
      <c r="G5" s="2">
        <v>125.67</v>
      </c>
      <c r="H5" s="2">
        <v>754.02</v>
      </c>
      <c r="I5" s="2">
        <v>705.02</v>
      </c>
      <c r="J5" s="2">
        <v>49</v>
      </c>
      <c r="K5" s="2" t="s">
        <v>19</v>
      </c>
      <c r="L5" s="2" t="s">
        <v>20</v>
      </c>
      <c r="M5" s="2" t="s">
        <v>40</v>
      </c>
      <c r="N5" s="2" t="s">
        <v>22</v>
      </c>
    </row>
    <row r="6" spans="1:15">
      <c r="A6" s="1" t="s">
        <v>41</v>
      </c>
      <c r="B6" s="2" t="s">
        <v>42</v>
      </c>
      <c r="C6" s="2" t="s">
        <v>16</v>
      </c>
      <c r="D6" s="2" t="s">
        <v>24</v>
      </c>
      <c r="E6" s="2" t="s">
        <v>25</v>
      </c>
      <c r="F6" s="2">
        <v>5</v>
      </c>
      <c r="G6" s="2">
        <v>244.72</v>
      </c>
      <c r="H6" s="2">
        <v>1223.5999999999999</v>
      </c>
      <c r="I6" s="2">
        <v>1183.5999999999999</v>
      </c>
      <c r="J6" s="2">
        <v>40</v>
      </c>
      <c r="K6" s="2" t="s">
        <v>26</v>
      </c>
      <c r="L6" s="2" t="s">
        <v>27</v>
      </c>
      <c r="M6" s="2" t="s">
        <v>21</v>
      </c>
      <c r="N6" s="2" t="s">
        <v>29</v>
      </c>
    </row>
    <row r="7" spans="1:15">
      <c r="A7" s="1">
        <v>45485</v>
      </c>
      <c r="B7" s="2" t="s">
        <v>43</v>
      </c>
      <c r="C7" s="2" t="s">
        <v>44</v>
      </c>
      <c r="D7" s="2" t="s">
        <v>24</v>
      </c>
      <c r="E7" s="2" t="s">
        <v>25</v>
      </c>
      <c r="F7" s="2">
        <v>3</v>
      </c>
      <c r="G7" s="2">
        <v>117.66</v>
      </c>
      <c r="H7" s="2">
        <v>352.98</v>
      </c>
      <c r="I7" s="2">
        <v>292.98</v>
      </c>
      <c r="J7" s="2">
        <v>60</v>
      </c>
      <c r="K7" s="2" t="s">
        <v>34</v>
      </c>
      <c r="L7" s="2" t="s">
        <v>20</v>
      </c>
      <c r="M7" s="2" t="s">
        <v>28</v>
      </c>
      <c r="N7" s="2" t="s">
        <v>37</v>
      </c>
    </row>
    <row r="8" spans="1:15">
      <c r="A8" s="1" t="s">
        <v>45</v>
      </c>
      <c r="B8" s="2" t="s">
        <v>46</v>
      </c>
      <c r="C8" s="2" t="s">
        <v>32</v>
      </c>
      <c r="D8" s="2" t="s">
        <v>47</v>
      </c>
      <c r="E8" s="2" t="s">
        <v>33</v>
      </c>
      <c r="F8" s="2">
        <v>5</v>
      </c>
      <c r="G8" s="2">
        <v>249.15</v>
      </c>
      <c r="H8" s="2">
        <v>1245.75</v>
      </c>
      <c r="I8" s="2">
        <v>1180.25</v>
      </c>
      <c r="J8" s="2">
        <v>65.5</v>
      </c>
      <c r="K8" s="2" t="s">
        <v>19</v>
      </c>
      <c r="L8" s="2" t="s">
        <v>35</v>
      </c>
      <c r="M8" s="2" t="s">
        <v>36</v>
      </c>
      <c r="N8" s="2" t="s">
        <v>22</v>
      </c>
    </row>
    <row r="9" spans="1:15">
      <c r="A9" s="1">
        <v>45485</v>
      </c>
      <c r="B9" s="2" t="s">
        <v>48</v>
      </c>
      <c r="C9" s="2" t="s">
        <v>49</v>
      </c>
      <c r="D9" s="2" t="s">
        <v>24</v>
      </c>
      <c r="E9" s="2" t="s">
        <v>25</v>
      </c>
      <c r="F9" s="2">
        <v>5</v>
      </c>
      <c r="G9" s="2">
        <v>337.68</v>
      </c>
      <c r="H9" s="2">
        <v>1688.4</v>
      </c>
      <c r="I9" s="2">
        <v>1639.4</v>
      </c>
      <c r="J9" s="2">
        <v>49</v>
      </c>
      <c r="K9" s="2" t="s">
        <v>26</v>
      </c>
      <c r="L9" s="2" t="s">
        <v>20</v>
      </c>
      <c r="M9" s="2" t="s">
        <v>40</v>
      </c>
      <c r="N9" s="2" t="s">
        <v>29</v>
      </c>
    </row>
    <row r="10" spans="1:15">
      <c r="A10" s="1">
        <v>45543</v>
      </c>
      <c r="B10" s="2" t="s">
        <v>50</v>
      </c>
      <c r="C10" s="2" t="s">
        <v>49</v>
      </c>
      <c r="D10" s="2" t="s">
        <v>47</v>
      </c>
      <c r="E10" s="2" t="s">
        <v>51</v>
      </c>
      <c r="F10" s="2">
        <v>5</v>
      </c>
      <c r="G10" s="2">
        <v>491.3</v>
      </c>
      <c r="H10" s="2">
        <v>2456.5</v>
      </c>
      <c r="I10" s="2">
        <v>2416.5</v>
      </c>
      <c r="J10" s="2">
        <v>40</v>
      </c>
      <c r="K10" s="2" t="s">
        <v>34</v>
      </c>
      <c r="L10" s="2" t="s">
        <v>27</v>
      </c>
      <c r="M10" s="2" t="s">
        <v>21</v>
      </c>
      <c r="N10" s="2" t="s">
        <v>37</v>
      </c>
    </row>
    <row r="11" spans="1:15">
      <c r="A11" s="1">
        <v>45302</v>
      </c>
      <c r="B11" s="2" t="s">
        <v>39</v>
      </c>
      <c r="C11" s="2" t="s">
        <v>16</v>
      </c>
      <c r="D11" s="2" t="s">
        <v>24</v>
      </c>
      <c r="E11" s="2" t="s">
        <v>33</v>
      </c>
      <c r="F11" s="2">
        <v>4</v>
      </c>
      <c r="G11" s="2">
        <v>394.42</v>
      </c>
      <c r="H11" s="2">
        <v>1577.68</v>
      </c>
      <c r="I11" s="2">
        <v>1517.68</v>
      </c>
      <c r="J11" s="2">
        <v>60</v>
      </c>
      <c r="K11" s="2" t="s">
        <v>19</v>
      </c>
      <c r="L11" s="2" t="s">
        <v>20</v>
      </c>
      <c r="M11" s="2" t="s">
        <v>28</v>
      </c>
      <c r="N11" s="2" t="s">
        <v>22</v>
      </c>
    </row>
    <row r="12" spans="1:15">
      <c r="A12" s="1" t="s">
        <v>52</v>
      </c>
      <c r="B12" s="2" t="s">
        <v>53</v>
      </c>
      <c r="C12" s="2" t="s">
        <v>49</v>
      </c>
      <c r="D12" s="2" t="s">
        <v>17</v>
      </c>
      <c r="E12" s="2" t="s">
        <v>51</v>
      </c>
      <c r="F12" s="2">
        <v>2</v>
      </c>
      <c r="G12" s="2">
        <v>216.4</v>
      </c>
      <c r="H12" s="2">
        <v>432.8</v>
      </c>
      <c r="I12" s="2">
        <v>367.3</v>
      </c>
      <c r="J12" s="2">
        <v>65.5</v>
      </c>
      <c r="K12" s="2" t="s">
        <v>26</v>
      </c>
      <c r="L12" s="2" t="s">
        <v>27</v>
      </c>
      <c r="M12" s="2" t="s">
        <v>36</v>
      </c>
      <c r="N12" s="2" t="s">
        <v>29</v>
      </c>
    </row>
    <row r="13" spans="1:15">
      <c r="A13" s="1" t="s">
        <v>54</v>
      </c>
      <c r="B13" s="2" t="s">
        <v>48</v>
      </c>
      <c r="C13" s="2" t="s">
        <v>49</v>
      </c>
      <c r="D13" s="2" t="s">
        <v>55</v>
      </c>
      <c r="E13" s="2" t="s">
        <v>33</v>
      </c>
      <c r="F13" s="2">
        <v>6</v>
      </c>
      <c r="G13" s="2">
        <v>457.22</v>
      </c>
      <c r="H13" s="2">
        <v>2743.32</v>
      </c>
      <c r="I13" s="2">
        <v>2694.32</v>
      </c>
      <c r="J13" s="2">
        <v>49</v>
      </c>
      <c r="K13" s="2" t="s">
        <v>34</v>
      </c>
      <c r="L13" s="2" t="s">
        <v>35</v>
      </c>
      <c r="M13" s="2" t="s">
        <v>40</v>
      </c>
      <c r="N13" s="2" t="s">
        <v>37</v>
      </c>
    </row>
    <row r="14" spans="1:15">
      <c r="A14" s="1" t="s">
        <v>56</v>
      </c>
      <c r="B14" s="2" t="s">
        <v>15</v>
      </c>
      <c r="C14" s="2" t="s">
        <v>16</v>
      </c>
      <c r="D14" s="2" t="s">
        <v>47</v>
      </c>
      <c r="E14" s="2" t="s">
        <v>25</v>
      </c>
      <c r="F14" s="2">
        <v>8</v>
      </c>
      <c r="G14" s="2">
        <v>438.33</v>
      </c>
      <c r="H14" s="2">
        <v>3506.64</v>
      </c>
      <c r="I14" s="2">
        <v>3466.64</v>
      </c>
      <c r="J14" s="2">
        <v>40</v>
      </c>
      <c r="K14" s="2" t="s">
        <v>19</v>
      </c>
      <c r="L14" s="2" t="s">
        <v>20</v>
      </c>
      <c r="M14" s="2" t="s">
        <v>21</v>
      </c>
      <c r="N14" s="2" t="s">
        <v>22</v>
      </c>
    </row>
    <row r="15" spans="1:15">
      <c r="A15" s="1" t="s">
        <v>57</v>
      </c>
      <c r="B15" s="2" t="s">
        <v>39</v>
      </c>
      <c r="C15" s="2" t="s">
        <v>16</v>
      </c>
      <c r="D15" s="2" t="s">
        <v>58</v>
      </c>
      <c r="E15" s="2" t="s">
        <v>33</v>
      </c>
      <c r="F15" s="2">
        <v>2</v>
      </c>
      <c r="G15" s="2">
        <v>56.98</v>
      </c>
      <c r="H15" s="2">
        <v>113.96</v>
      </c>
      <c r="I15" s="2">
        <v>53.96</v>
      </c>
      <c r="J15" s="2">
        <v>60</v>
      </c>
      <c r="K15" s="2" t="s">
        <v>26</v>
      </c>
      <c r="L15" s="2" t="s">
        <v>20</v>
      </c>
      <c r="M15" s="2" t="s">
        <v>28</v>
      </c>
      <c r="N15" s="2" t="s">
        <v>29</v>
      </c>
    </row>
    <row r="16" spans="1:15">
      <c r="A16" s="1">
        <v>45601</v>
      </c>
      <c r="B16" s="2" t="s">
        <v>53</v>
      </c>
      <c r="C16" s="2" t="s">
        <v>49</v>
      </c>
      <c r="D16" s="2" t="s">
        <v>58</v>
      </c>
      <c r="E16" s="2" t="s">
        <v>51</v>
      </c>
      <c r="F16" s="2">
        <v>1</v>
      </c>
      <c r="G16" s="2">
        <v>313.14</v>
      </c>
      <c r="H16" s="2">
        <v>313.14</v>
      </c>
      <c r="I16" s="2">
        <v>247.64</v>
      </c>
      <c r="J16" s="2">
        <v>65.5</v>
      </c>
      <c r="K16" s="2" t="s">
        <v>34</v>
      </c>
      <c r="L16" s="2" t="s">
        <v>35</v>
      </c>
      <c r="M16" s="2" t="s">
        <v>36</v>
      </c>
      <c r="N16" s="2" t="s">
        <v>37</v>
      </c>
    </row>
    <row r="17" spans="1:14">
      <c r="A17" s="1" t="s">
        <v>59</v>
      </c>
      <c r="B17" s="2" t="s">
        <v>42</v>
      </c>
      <c r="C17" s="2" t="s">
        <v>16</v>
      </c>
      <c r="D17" s="2" t="s">
        <v>17</v>
      </c>
      <c r="E17" s="2" t="s">
        <v>25</v>
      </c>
      <c r="F17" s="2">
        <v>4</v>
      </c>
      <c r="G17" s="2">
        <v>53.03</v>
      </c>
      <c r="H17" s="2">
        <v>212.12</v>
      </c>
      <c r="I17" s="2">
        <v>163.12</v>
      </c>
      <c r="J17" s="2">
        <v>49</v>
      </c>
      <c r="K17" s="2" t="s">
        <v>19</v>
      </c>
      <c r="L17" s="2" t="s">
        <v>27</v>
      </c>
      <c r="M17" s="2" t="s">
        <v>40</v>
      </c>
      <c r="N17" s="2" t="s">
        <v>22</v>
      </c>
    </row>
    <row r="18" spans="1:14">
      <c r="A18" s="1">
        <v>45421</v>
      </c>
      <c r="B18" s="2" t="s">
        <v>60</v>
      </c>
      <c r="C18" s="2" t="s">
        <v>44</v>
      </c>
      <c r="D18" s="2" t="s">
        <v>47</v>
      </c>
      <c r="E18" s="2" t="s">
        <v>51</v>
      </c>
      <c r="F18" s="2">
        <v>10</v>
      </c>
      <c r="G18" s="2">
        <v>152.37</v>
      </c>
      <c r="H18" s="2">
        <v>1523.7</v>
      </c>
      <c r="I18" s="2">
        <v>1483.7</v>
      </c>
      <c r="J18" s="2">
        <v>40</v>
      </c>
      <c r="K18" s="2" t="s">
        <v>26</v>
      </c>
      <c r="L18" s="2" t="s">
        <v>20</v>
      </c>
      <c r="M18" s="2" t="s">
        <v>21</v>
      </c>
      <c r="N18" s="2" t="s">
        <v>29</v>
      </c>
    </row>
    <row r="19" spans="1:14">
      <c r="A19" s="1" t="s">
        <v>61</v>
      </c>
      <c r="B19" s="2" t="s">
        <v>39</v>
      </c>
      <c r="C19" s="2" t="s">
        <v>16</v>
      </c>
      <c r="D19" s="2" t="s">
        <v>55</v>
      </c>
      <c r="E19" s="2" t="s">
        <v>51</v>
      </c>
      <c r="F19" s="2">
        <v>6</v>
      </c>
      <c r="G19" s="2">
        <v>132.59</v>
      </c>
      <c r="H19" s="2">
        <v>795.54</v>
      </c>
      <c r="I19" s="2">
        <v>735.54</v>
      </c>
      <c r="J19" s="2">
        <v>60</v>
      </c>
      <c r="K19" s="2" t="s">
        <v>34</v>
      </c>
      <c r="L19" s="2" t="s">
        <v>20</v>
      </c>
      <c r="M19" s="2" t="s">
        <v>28</v>
      </c>
      <c r="N19" s="2" t="s">
        <v>37</v>
      </c>
    </row>
    <row r="20" spans="1:14">
      <c r="A20" s="1" t="s">
        <v>62</v>
      </c>
      <c r="B20" s="2" t="s">
        <v>46</v>
      </c>
      <c r="C20" s="2" t="s">
        <v>32</v>
      </c>
      <c r="D20" s="2" t="s">
        <v>58</v>
      </c>
      <c r="E20" s="2" t="s">
        <v>18</v>
      </c>
      <c r="F20" s="2">
        <v>5</v>
      </c>
      <c r="G20" s="2">
        <v>265.92</v>
      </c>
      <c r="H20" s="2">
        <v>1329.6</v>
      </c>
      <c r="I20" s="2">
        <v>1264.0999999999999</v>
      </c>
      <c r="J20" s="2">
        <v>65.5</v>
      </c>
      <c r="K20" s="2" t="s">
        <v>19</v>
      </c>
      <c r="L20" s="2" t="s">
        <v>27</v>
      </c>
      <c r="M20" s="2" t="s">
        <v>36</v>
      </c>
      <c r="N20" s="2" t="s">
        <v>22</v>
      </c>
    </row>
    <row r="21" spans="1:14">
      <c r="A21" s="1" t="s">
        <v>61</v>
      </c>
      <c r="B21" s="2" t="s">
        <v>39</v>
      </c>
      <c r="C21" s="2" t="s">
        <v>16</v>
      </c>
      <c r="D21" s="2" t="s">
        <v>58</v>
      </c>
      <c r="E21" s="2" t="s">
        <v>51</v>
      </c>
      <c r="F21" s="2">
        <v>1</v>
      </c>
      <c r="G21" s="2">
        <v>492.81</v>
      </c>
      <c r="H21" s="2">
        <v>492.81</v>
      </c>
      <c r="I21" s="2">
        <v>443.81</v>
      </c>
      <c r="J21" s="2">
        <v>49</v>
      </c>
      <c r="K21" s="2" t="s">
        <v>26</v>
      </c>
      <c r="L21" s="2" t="s">
        <v>35</v>
      </c>
      <c r="M21" s="2" t="s">
        <v>40</v>
      </c>
      <c r="N21" s="2" t="s">
        <v>29</v>
      </c>
    </row>
    <row r="22" spans="1:14">
      <c r="A22" s="1">
        <v>45446</v>
      </c>
      <c r="B22" s="2" t="s">
        <v>42</v>
      </c>
      <c r="C22" s="2" t="s">
        <v>16</v>
      </c>
      <c r="D22" s="2" t="s">
        <v>58</v>
      </c>
      <c r="E22" s="2" t="s">
        <v>51</v>
      </c>
      <c r="F22" s="2">
        <v>1</v>
      </c>
      <c r="G22" s="2">
        <v>434.04</v>
      </c>
      <c r="H22" s="2">
        <v>434.04</v>
      </c>
      <c r="I22" s="2">
        <v>394.04</v>
      </c>
      <c r="J22" s="2">
        <v>40</v>
      </c>
      <c r="K22" s="2" t="s">
        <v>34</v>
      </c>
      <c r="L22" s="2" t="s">
        <v>20</v>
      </c>
      <c r="M22" s="2" t="s">
        <v>21</v>
      </c>
      <c r="N22" s="2" t="s">
        <v>37</v>
      </c>
    </row>
    <row r="23" spans="1:14">
      <c r="A23" s="1" t="s">
        <v>63</v>
      </c>
      <c r="B23" s="2" t="s">
        <v>31</v>
      </c>
      <c r="C23" s="2" t="s">
        <v>32</v>
      </c>
      <c r="D23" s="2" t="s">
        <v>47</v>
      </c>
      <c r="E23" s="2" t="s">
        <v>18</v>
      </c>
      <c r="F23" s="2">
        <v>10</v>
      </c>
      <c r="G23" s="2">
        <v>462.7</v>
      </c>
      <c r="H23" s="2">
        <v>4627</v>
      </c>
      <c r="I23" s="2">
        <v>4567</v>
      </c>
      <c r="J23" s="2">
        <v>60</v>
      </c>
      <c r="K23" s="2" t="s">
        <v>19</v>
      </c>
      <c r="L23" s="2" t="s">
        <v>35</v>
      </c>
      <c r="M23" s="2" t="s">
        <v>28</v>
      </c>
      <c r="N23" s="2" t="s">
        <v>22</v>
      </c>
    </row>
    <row r="24" spans="1:14">
      <c r="A24" s="1">
        <v>45601</v>
      </c>
      <c r="B24" s="2" t="s">
        <v>39</v>
      </c>
      <c r="C24" s="2" t="s">
        <v>16</v>
      </c>
      <c r="D24" s="2" t="s">
        <v>55</v>
      </c>
      <c r="E24" s="2" t="s">
        <v>25</v>
      </c>
      <c r="F24" s="2">
        <v>2</v>
      </c>
      <c r="G24" s="2">
        <v>336.04</v>
      </c>
      <c r="H24" s="2">
        <v>672.08</v>
      </c>
      <c r="I24" s="2">
        <v>606.58000000000004</v>
      </c>
      <c r="J24" s="2">
        <v>65.5</v>
      </c>
      <c r="K24" s="2" t="s">
        <v>26</v>
      </c>
      <c r="L24" s="2" t="s">
        <v>20</v>
      </c>
      <c r="M24" s="2" t="s">
        <v>36</v>
      </c>
      <c r="N24" s="2" t="s">
        <v>29</v>
      </c>
    </row>
    <row r="25" spans="1:14">
      <c r="A25" s="1" t="s">
        <v>64</v>
      </c>
      <c r="B25" s="2" t="s">
        <v>65</v>
      </c>
      <c r="C25" s="2" t="s">
        <v>66</v>
      </c>
      <c r="D25" s="2" t="s">
        <v>58</v>
      </c>
      <c r="E25" s="2" t="s">
        <v>25</v>
      </c>
      <c r="F25" s="2">
        <v>7</v>
      </c>
      <c r="G25" s="2">
        <v>349.53</v>
      </c>
      <c r="H25" s="2">
        <v>2446.71</v>
      </c>
      <c r="I25" s="2">
        <v>2397.71</v>
      </c>
      <c r="J25" s="2">
        <v>49</v>
      </c>
      <c r="K25" s="2" t="s">
        <v>34</v>
      </c>
      <c r="L25" s="2" t="s">
        <v>27</v>
      </c>
      <c r="M25" s="2" t="s">
        <v>40</v>
      </c>
      <c r="N25" s="2" t="s">
        <v>37</v>
      </c>
    </row>
    <row r="26" spans="1:14">
      <c r="A26" s="1" t="s">
        <v>67</v>
      </c>
      <c r="B26" s="2" t="s">
        <v>42</v>
      </c>
      <c r="C26" s="2" t="s">
        <v>16</v>
      </c>
      <c r="D26" s="2" t="s">
        <v>24</v>
      </c>
      <c r="E26" s="2" t="s">
        <v>51</v>
      </c>
      <c r="F26" s="2">
        <v>5</v>
      </c>
      <c r="G26" s="2">
        <v>178.39</v>
      </c>
      <c r="H26" s="2">
        <v>891.95</v>
      </c>
      <c r="I26" s="2">
        <v>851.95</v>
      </c>
      <c r="J26" s="2">
        <v>40</v>
      </c>
      <c r="K26" s="2" t="s">
        <v>19</v>
      </c>
      <c r="L26" s="2" t="s">
        <v>27</v>
      </c>
      <c r="M26" s="2" t="s">
        <v>21</v>
      </c>
      <c r="N26" s="2" t="s">
        <v>22</v>
      </c>
    </row>
    <row r="27" spans="1:14">
      <c r="A27" s="1" t="s">
        <v>68</v>
      </c>
      <c r="B27" s="2" t="s">
        <v>69</v>
      </c>
      <c r="C27" s="2" t="s">
        <v>44</v>
      </c>
      <c r="D27" s="2" t="s">
        <v>17</v>
      </c>
      <c r="E27" s="2" t="s">
        <v>33</v>
      </c>
      <c r="F27" s="2">
        <v>9</v>
      </c>
      <c r="G27" s="2">
        <v>479.97</v>
      </c>
      <c r="H27" s="2">
        <v>4319.7299999999996</v>
      </c>
      <c r="I27" s="2">
        <v>4259.7299999999996</v>
      </c>
      <c r="J27" s="2">
        <v>60</v>
      </c>
      <c r="K27" s="2" t="s">
        <v>26</v>
      </c>
      <c r="L27" s="2" t="s">
        <v>35</v>
      </c>
      <c r="M27" s="2" t="s">
        <v>28</v>
      </c>
      <c r="N27" s="2" t="s">
        <v>29</v>
      </c>
    </row>
    <row r="28" spans="1:14">
      <c r="A28" s="1">
        <v>45627</v>
      </c>
      <c r="B28" s="2" t="s">
        <v>69</v>
      </c>
      <c r="C28" s="2" t="s">
        <v>44</v>
      </c>
      <c r="D28" s="2" t="s">
        <v>47</v>
      </c>
      <c r="E28" s="2" t="s">
        <v>18</v>
      </c>
      <c r="F28" s="2">
        <v>1</v>
      </c>
      <c r="G28" s="2">
        <v>226.32</v>
      </c>
      <c r="H28" s="2">
        <v>226.32</v>
      </c>
      <c r="I28" s="2">
        <v>160.82</v>
      </c>
      <c r="J28" s="2">
        <v>65.5</v>
      </c>
      <c r="K28" s="2" t="s">
        <v>34</v>
      </c>
      <c r="L28" s="2" t="s">
        <v>20</v>
      </c>
      <c r="M28" s="2" t="s">
        <v>36</v>
      </c>
      <c r="N28" s="2" t="s">
        <v>37</v>
      </c>
    </row>
    <row r="29" spans="1:14">
      <c r="A29" s="1">
        <v>45574</v>
      </c>
      <c r="B29" s="2" t="s">
        <v>69</v>
      </c>
      <c r="C29" s="2" t="s">
        <v>44</v>
      </c>
      <c r="D29" s="2" t="s">
        <v>24</v>
      </c>
      <c r="E29" s="2" t="s">
        <v>33</v>
      </c>
      <c r="F29" s="2">
        <v>6</v>
      </c>
      <c r="G29" s="2">
        <v>430.69</v>
      </c>
      <c r="H29" s="2">
        <v>2584.14</v>
      </c>
      <c r="I29" s="2">
        <v>2535.14</v>
      </c>
      <c r="J29" s="2">
        <v>49</v>
      </c>
      <c r="K29" s="2" t="s">
        <v>19</v>
      </c>
      <c r="L29" s="2" t="s">
        <v>20</v>
      </c>
      <c r="M29" s="2" t="s">
        <v>40</v>
      </c>
      <c r="N29" s="2" t="s">
        <v>22</v>
      </c>
    </row>
    <row r="30" spans="1:14">
      <c r="A30" s="1" t="s">
        <v>70</v>
      </c>
      <c r="B30" s="2" t="s">
        <v>46</v>
      </c>
      <c r="C30" s="2" t="s">
        <v>32</v>
      </c>
      <c r="D30" s="2" t="s">
        <v>24</v>
      </c>
      <c r="E30" s="2" t="s">
        <v>51</v>
      </c>
      <c r="F30" s="2">
        <v>3</v>
      </c>
      <c r="G30" s="2">
        <v>393.27</v>
      </c>
      <c r="H30" s="2">
        <v>1179.81</v>
      </c>
      <c r="I30" s="2">
        <v>1139.81</v>
      </c>
      <c r="J30" s="2">
        <v>40</v>
      </c>
      <c r="K30" s="2" t="s">
        <v>26</v>
      </c>
      <c r="L30" s="2" t="s">
        <v>27</v>
      </c>
      <c r="M30" s="2" t="s">
        <v>21</v>
      </c>
      <c r="N30" s="2" t="s">
        <v>29</v>
      </c>
    </row>
    <row r="31" spans="1:14">
      <c r="A31" s="1" t="s">
        <v>71</v>
      </c>
      <c r="B31" s="2" t="s">
        <v>23</v>
      </c>
      <c r="C31" s="2" t="s">
        <v>16</v>
      </c>
      <c r="D31" s="2" t="s">
        <v>17</v>
      </c>
      <c r="E31" s="2" t="s">
        <v>25</v>
      </c>
      <c r="F31" s="2">
        <v>9</v>
      </c>
      <c r="G31" s="2">
        <v>475.63</v>
      </c>
      <c r="H31" s="2">
        <v>4280.67</v>
      </c>
      <c r="I31" s="2">
        <v>4220.67</v>
      </c>
      <c r="J31" s="2">
        <v>60</v>
      </c>
      <c r="K31" s="2" t="s">
        <v>34</v>
      </c>
      <c r="L31" s="2" t="s">
        <v>35</v>
      </c>
      <c r="M31" s="2" t="s">
        <v>28</v>
      </c>
      <c r="N31" s="2" t="s">
        <v>37</v>
      </c>
    </row>
    <row r="32" spans="1:14">
      <c r="A32" s="1" t="s">
        <v>72</v>
      </c>
      <c r="B32" s="2" t="s">
        <v>23</v>
      </c>
      <c r="C32" s="2" t="s">
        <v>16</v>
      </c>
      <c r="D32" s="2" t="s">
        <v>17</v>
      </c>
      <c r="E32" s="2" t="s">
        <v>18</v>
      </c>
      <c r="F32" s="2">
        <v>1</v>
      </c>
      <c r="G32" s="2">
        <v>286.63</v>
      </c>
      <c r="H32" s="2">
        <v>286.63</v>
      </c>
      <c r="I32" s="2">
        <v>221.13</v>
      </c>
      <c r="J32" s="2">
        <v>65.5</v>
      </c>
      <c r="K32" s="2" t="s">
        <v>19</v>
      </c>
      <c r="L32" s="2" t="s">
        <v>20</v>
      </c>
      <c r="M32" s="2" t="s">
        <v>36</v>
      </c>
      <c r="N32" s="2" t="s">
        <v>22</v>
      </c>
    </row>
    <row r="33" spans="1:14">
      <c r="A33" s="1">
        <v>45574</v>
      </c>
      <c r="B33" s="2" t="s">
        <v>31</v>
      </c>
      <c r="C33" s="2" t="s">
        <v>32</v>
      </c>
      <c r="D33" s="2" t="s">
        <v>24</v>
      </c>
      <c r="E33" s="2" t="s">
        <v>33</v>
      </c>
      <c r="F33" s="2">
        <v>6</v>
      </c>
      <c r="G33" s="2">
        <v>66.28</v>
      </c>
      <c r="H33" s="2">
        <v>397.68</v>
      </c>
      <c r="I33" s="2">
        <v>348.68</v>
      </c>
      <c r="J33" s="2">
        <v>49</v>
      </c>
      <c r="K33" s="2" t="s">
        <v>26</v>
      </c>
      <c r="L33" s="2" t="s">
        <v>27</v>
      </c>
      <c r="M33" s="2" t="s">
        <v>40</v>
      </c>
      <c r="N33" s="2" t="s">
        <v>29</v>
      </c>
    </row>
    <row r="34" spans="1:14">
      <c r="A34" s="1" t="s">
        <v>73</v>
      </c>
      <c r="B34" s="2" t="s">
        <v>74</v>
      </c>
      <c r="C34" s="2" t="s">
        <v>44</v>
      </c>
      <c r="D34" s="2" t="s">
        <v>58</v>
      </c>
      <c r="E34" s="2" t="s">
        <v>18</v>
      </c>
      <c r="F34" s="2">
        <v>1</v>
      </c>
      <c r="G34" s="2">
        <v>188.02</v>
      </c>
      <c r="H34" s="2">
        <v>188.02</v>
      </c>
      <c r="I34" s="2">
        <v>148.02000000000001</v>
      </c>
      <c r="J34" s="2">
        <v>40</v>
      </c>
      <c r="K34" s="2" t="s">
        <v>34</v>
      </c>
      <c r="L34" s="2" t="s">
        <v>20</v>
      </c>
      <c r="M34" s="2" t="s">
        <v>21</v>
      </c>
      <c r="N34" s="2" t="s">
        <v>37</v>
      </c>
    </row>
    <row r="35" spans="1:14">
      <c r="A35" s="1">
        <v>45445</v>
      </c>
      <c r="B35" s="2" t="s">
        <v>31</v>
      </c>
      <c r="C35" s="2" t="s">
        <v>32</v>
      </c>
      <c r="D35" s="2" t="s">
        <v>17</v>
      </c>
      <c r="E35" s="2" t="s">
        <v>33</v>
      </c>
      <c r="F35" s="2">
        <v>2</v>
      </c>
      <c r="G35" s="2">
        <v>163.61000000000001</v>
      </c>
      <c r="H35" s="2">
        <v>327.22000000000003</v>
      </c>
      <c r="I35" s="2">
        <v>267.22000000000003</v>
      </c>
      <c r="J35" s="2">
        <v>60</v>
      </c>
      <c r="K35" s="2" t="s">
        <v>19</v>
      </c>
      <c r="L35" s="2" t="s">
        <v>35</v>
      </c>
      <c r="M35" s="2" t="s">
        <v>28</v>
      </c>
      <c r="N35" s="2" t="s">
        <v>22</v>
      </c>
    </row>
    <row r="36" spans="1:14">
      <c r="A36" s="1">
        <v>45416</v>
      </c>
      <c r="B36" s="2" t="s">
        <v>60</v>
      </c>
      <c r="C36" s="2" t="s">
        <v>44</v>
      </c>
      <c r="D36" s="2" t="s">
        <v>24</v>
      </c>
      <c r="E36" s="2" t="s">
        <v>25</v>
      </c>
      <c r="F36" s="2">
        <v>5</v>
      </c>
      <c r="G36" s="2">
        <v>235.55</v>
      </c>
      <c r="H36" s="2">
        <v>1177.75</v>
      </c>
      <c r="I36" s="2">
        <v>1112.25</v>
      </c>
      <c r="J36" s="2">
        <v>65.5</v>
      </c>
      <c r="K36" s="2" t="s">
        <v>26</v>
      </c>
      <c r="L36" s="2" t="s">
        <v>27</v>
      </c>
      <c r="M36" s="2" t="s">
        <v>36</v>
      </c>
      <c r="N36" s="2" t="s">
        <v>29</v>
      </c>
    </row>
    <row r="37" spans="1:14">
      <c r="A37" s="1" t="s">
        <v>75</v>
      </c>
      <c r="B37" s="2" t="s">
        <v>43</v>
      </c>
      <c r="C37" s="2" t="s">
        <v>44</v>
      </c>
      <c r="D37" s="2" t="s">
        <v>55</v>
      </c>
      <c r="E37" s="2" t="s">
        <v>25</v>
      </c>
      <c r="F37" s="2">
        <v>9</v>
      </c>
      <c r="G37" s="2">
        <v>342.15</v>
      </c>
      <c r="H37" s="2">
        <v>3079.35</v>
      </c>
      <c r="I37" s="2">
        <v>3030.35</v>
      </c>
      <c r="J37" s="2">
        <v>49</v>
      </c>
      <c r="K37" s="2" t="s">
        <v>34</v>
      </c>
      <c r="L37" s="2" t="s">
        <v>20</v>
      </c>
      <c r="M37" s="2" t="s">
        <v>40</v>
      </c>
      <c r="N37" s="2" t="s">
        <v>37</v>
      </c>
    </row>
    <row r="38" spans="1:14">
      <c r="A38" s="1">
        <v>45392</v>
      </c>
      <c r="B38" s="2" t="s">
        <v>76</v>
      </c>
      <c r="C38" s="2" t="s">
        <v>49</v>
      </c>
      <c r="D38" s="2" t="s">
        <v>24</v>
      </c>
      <c r="E38" s="2" t="s">
        <v>51</v>
      </c>
      <c r="F38" s="2">
        <v>4</v>
      </c>
      <c r="G38" s="2">
        <v>117.1</v>
      </c>
      <c r="H38" s="2">
        <v>468.4</v>
      </c>
      <c r="I38" s="2">
        <v>428.4</v>
      </c>
      <c r="J38" s="2">
        <v>40</v>
      </c>
      <c r="K38" s="2" t="s">
        <v>19</v>
      </c>
      <c r="L38" s="2" t="s">
        <v>35</v>
      </c>
      <c r="M38" s="2" t="s">
        <v>21</v>
      </c>
      <c r="N38" s="2" t="s">
        <v>22</v>
      </c>
    </row>
    <row r="39" spans="1:14">
      <c r="A39" s="1" t="s">
        <v>77</v>
      </c>
      <c r="B39" s="2" t="s">
        <v>78</v>
      </c>
      <c r="C39" s="2" t="s">
        <v>66</v>
      </c>
      <c r="D39" s="2" t="s">
        <v>24</v>
      </c>
      <c r="E39" s="2" t="s">
        <v>33</v>
      </c>
      <c r="F39" s="2">
        <v>2</v>
      </c>
      <c r="G39" s="2">
        <v>416.69</v>
      </c>
      <c r="H39" s="2">
        <v>833.38</v>
      </c>
      <c r="I39" s="2">
        <v>773.38</v>
      </c>
      <c r="J39" s="2">
        <v>60</v>
      </c>
      <c r="K39" s="2" t="s">
        <v>26</v>
      </c>
      <c r="L39" s="2" t="s">
        <v>20</v>
      </c>
      <c r="M39" s="2" t="s">
        <v>28</v>
      </c>
      <c r="N39" s="2" t="s">
        <v>29</v>
      </c>
    </row>
    <row r="40" spans="1:14">
      <c r="A40" s="1" t="s">
        <v>79</v>
      </c>
      <c r="B40" s="2" t="s">
        <v>15</v>
      </c>
      <c r="C40" s="2" t="s">
        <v>16</v>
      </c>
      <c r="D40" s="2" t="s">
        <v>58</v>
      </c>
      <c r="E40" s="2" t="s">
        <v>18</v>
      </c>
      <c r="F40" s="2">
        <v>8</v>
      </c>
      <c r="G40" s="2">
        <v>341.07</v>
      </c>
      <c r="H40" s="2">
        <v>2728.56</v>
      </c>
      <c r="I40" s="2">
        <v>2663.06</v>
      </c>
      <c r="J40" s="2">
        <v>65.5</v>
      </c>
      <c r="K40" s="2" t="s">
        <v>34</v>
      </c>
      <c r="L40" s="2" t="s">
        <v>27</v>
      </c>
      <c r="M40" s="2" t="s">
        <v>36</v>
      </c>
      <c r="N40" s="2" t="s">
        <v>37</v>
      </c>
    </row>
    <row r="41" spans="1:14">
      <c r="A41" s="1" t="s">
        <v>80</v>
      </c>
      <c r="B41" s="2" t="s">
        <v>81</v>
      </c>
      <c r="C41" s="2" t="s">
        <v>32</v>
      </c>
      <c r="D41" s="2" t="s">
        <v>17</v>
      </c>
      <c r="E41" s="2" t="s">
        <v>33</v>
      </c>
      <c r="F41" s="2">
        <v>7</v>
      </c>
      <c r="G41" s="2">
        <v>76.53</v>
      </c>
      <c r="H41" s="2">
        <v>535.71</v>
      </c>
      <c r="I41" s="2">
        <v>486.71</v>
      </c>
      <c r="J41" s="2">
        <v>49</v>
      </c>
      <c r="K41" s="2" t="s">
        <v>19</v>
      </c>
      <c r="L41" s="2" t="s">
        <v>35</v>
      </c>
      <c r="M41" s="2" t="s">
        <v>40</v>
      </c>
      <c r="N41" s="2" t="s">
        <v>22</v>
      </c>
    </row>
    <row r="42" spans="1:14">
      <c r="A42" s="1">
        <v>45390</v>
      </c>
      <c r="B42" s="2" t="s">
        <v>39</v>
      </c>
      <c r="C42" s="2" t="s">
        <v>16</v>
      </c>
      <c r="D42" s="2" t="s">
        <v>58</v>
      </c>
      <c r="E42" s="2" t="s">
        <v>51</v>
      </c>
      <c r="F42" s="2">
        <v>5</v>
      </c>
      <c r="G42" s="2">
        <v>302.08</v>
      </c>
      <c r="H42" s="2">
        <v>1510.4</v>
      </c>
      <c r="I42" s="2">
        <v>1470.4</v>
      </c>
      <c r="J42" s="2">
        <v>40</v>
      </c>
      <c r="K42" s="2" t="s">
        <v>26</v>
      </c>
      <c r="L42" s="2" t="s">
        <v>20</v>
      </c>
      <c r="M42" s="2" t="s">
        <v>21</v>
      </c>
      <c r="N42" s="2" t="s">
        <v>29</v>
      </c>
    </row>
    <row r="43" spans="1:14">
      <c r="A43" s="1" t="s">
        <v>82</v>
      </c>
      <c r="B43" s="2" t="s">
        <v>78</v>
      </c>
      <c r="C43" s="2" t="s">
        <v>66</v>
      </c>
      <c r="D43" s="2" t="s">
        <v>47</v>
      </c>
      <c r="E43" s="2" t="s">
        <v>25</v>
      </c>
      <c r="F43" s="2">
        <v>6</v>
      </c>
      <c r="G43" s="2">
        <v>343.96</v>
      </c>
      <c r="H43" s="2">
        <v>2063.7600000000002</v>
      </c>
      <c r="I43" s="2">
        <v>2003.76</v>
      </c>
      <c r="J43" s="2">
        <v>60</v>
      </c>
      <c r="K43" s="2" t="s">
        <v>34</v>
      </c>
      <c r="L43" s="2" t="s">
        <v>27</v>
      </c>
      <c r="M43" s="2" t="s">
        <v>28</v>
      </c>
      <c r="N43" s="2" t="s">
        <v>37</v>
      </c>
    </row>
    <row r="44" spans="1:14">
      <c r="A44" s="1" t="s">
        <v>83</v>
      </c>
      <c r="B44" s="2" t="s">
        <v>39</v>
      </c>
      <c r="C44" s="2" t="s">
        <v>16</v>
      </c>
      <c r="D44" s="2" t="s">
        <v>47</v>
      </c>
      <c r="E44" s="2" t="s">
        <v>33</v>
      </c>
      <c r="F44" s="2">
        <v>3</v>
      </c>
      <c r="G44" s="2">
        <v>334.52</v>
      </c>
      <c r="H44" s="2">
        <v>1003.56</v>
      </c>
      <c r="I44" s="2">
        <v>938.06</v>
      </c>
      <c r="J44" s="2">
        <v>65.5</v>
      </c>
      <c r="K44" s="2" t="s">
        <v>19</v>
      </c>
      <c r="L44" s="2" t="s">
        <v>35</v>
      </c>
      <c r="M44" s="2" t="s">
        <v>36</v>
      </c>
      <c r="N44" s="2" t="s">
        <v>22</v>
      </c>
    </row>
    <row r="45" spans="1:14">
      <c r="A45" s="1" t="s">
        <v>84</v>
      </c>
      <c r="B45" s="2" t="s">
        <v>39</v>
      </c>
      <c r="C45" s="2" t="s">
        <v>16</v>
      </c>
      <c r="D45" s="2" t="s">
        <v>58</v>
      </c>
      <c r="E45" s="2" t="s">
        <v>18</v>
      </c>
      <c r="F45" s="2">
        <v>6</v>
      </c>
      <c r="G45" s="2">
        <v>108.38</v>
      </c>
      <c r="H45" s="2">
        <v>650.28</v>
      </c>
      <c r="I45" s="2">
        <v>601.28</v>
      </c>
      <c r="J45" s="2">
        <v>49</v>
      </c>
      <c r="K45" s="2" t="s">
        <v>26</v>
      </c>
      <c r="L45" s="2" t="s">
        <v>20</v>
      </c>
      <c r="M45" s="2" t="s">
        <v>40</v>
      </c>
      <c r="N45" s="2" t="s">
        <v>29</v>
      </c>
    </row>
    <row r="46" spans="1:14">
      <c r="A46" s="1">
        <v>45481</v>
      </c>
      <c r="B46" s="2" t="s">
        <v>48</v>
      </c>
      <c r="C46" s="2" t="s">
        <v>49</v>
      </c>
      <c r="D46" s="2" t="s">
        <v>17</v>
      </c>
      <c r="E46" s="2" t="s">
        <v>18</v>
      </c>
      <c r="F46" s="2">
        <v>6</v>
      </c>
      <c r="G46" s="2">
        <v>135.08000000000001</v>
      </c>
      <c r="H46" s="2">
        <v>810.48</v>
      </c>
      <c r="I46" s="2">
        <v>770.48</v>
      </c>
      <c r="J46" s="2">
        <v>40</v>
      </c>
      <c r="K46" s="2" t="s">
        <v>34</v>
      </c>
      <c r="L46" s="2" t="s">
        <v>20</v>
      </c>
      <c r="M46" s="2" t="s">
        <v>21</v>
      </c>
      <c r="N46" s="2" t="s">
        <v>37</v>
      </c>
    </row>
    <row r="47" spans="1:14">
      <c r="A47" s="1" t="s">
        <v>85</v>
      </c>
      <c r="B47" s="2" t="s">
        <v>42</v>
      </c>
      <c r="C47" s="2" t="s">
        <v>16</v>
      </c>
      <c r="D47" s="2" t="s">
        <v>58</v>
      </c>
      <c r="E47" s="2" t="s">
        <v>51</v>
      </c>
      <c r="F47" s="2">
        <v>8</v>
      </c>
      <c r="G47" s="2">
        <v>217.97</v>
      </c>
      <c r="H47" s="2">
        <v>1743.76</v>
      </c>
      <c r="I47" s="2">
        <v>1683.76</v>
      </c>
      <c r="J47" s="2">
        <v>60</v>
      </c>
      <c r="K47" s="2" t="s">
        <v>19</v>
      </c>
      <c r="L47" s="2" t="s">
        <v>35</v>
      </c>
      <c r="M47" s="2" t="s">
        <v>28</v>
      </c>
      <c r="N47" s="2" t="s">
        <v>22</v>
      </c>
    </row>
    <row r="48" spans="1:14">
      <c r="A48" s="1" t="s">
        <v>54</v>
      </c>
      <c r="B48" s="2" t="s">
        <v>42</v>
      </c>
      <c r="C48" s="2" t="s">
        <v>16</v>
      </c>
      <c r="D48" s="2" t="s">
        <v>47</v>
      </c>
      <c r="E48" s="2" t="s">
        <v>33</v>
      </c>
      <c r="F48" s="2">
        <v>10</v>
      </c>
      <c r="G48" s="2">
        <v>315.7</v>
      </c>
      <c r="H48" s="2">
        <v>3157</v>
      </c>
      <c r="I48" s="2">
        <v>3091.5</v>
      </c>
      <c r="J48" s="2">
        <v>65.5</v>
      </c>
      <c r="K48" s="2" t="s">
        <v>26</v>
      </c>
      <c r="L48" s="2" t="s">
        <v>20</v>
      </c>
      <c r="M48" s="2" t="s">
        <v>36</v>
      </c>
      <c r="N48" s="2" t="s">
        <v>29</v>
      </c>
    </row>
    <row r="49" spans="1:14">
      <c r="A49" s="1">
        <v>45297</v>
      </c>
      <c r="B49" s="2" t="s">
        <v>69</v>
      </c>
      <c r="C49" s="2" t="s">
        <v>44</v>
      </c>
      <c r="D49" s="2" t="s">
        <v>47</v>
      </c>
      <c r="E49" s="2" t="s">
        <v>33</v>
      </c>
      <c r="F49" s="2">
        <v>4</v>
      </c>
      <c r="G49" s="2">
        <v>275.02999999999997</v>
      </c>
      <c r="H49" s="2">
        <v>1100.1199999999999</v>
      </c>
      <c r="I49" s="2">
        <v>1051.1199999999999</v>
      </c>
      <c r="J49" s="2">
        <v>49</v>
      </c>
      <c r="K49" s="2" t="s">
        <v>34</v>
      </c>
      <c r="L49" s="2" t="s">
        <v>27</v>
      </c>
      <c r="M49" s="2" t="s">
        <v>40</v>
      </c>
      <c r="N49" s="2" t="s">
        <v>37</v>
      </c>
    </row>
    <row r="50" spans="1:14">
      <c r="A50" s="1">
        <v>45477</v>
      </c>
      <c r="B50" s="2" t="s">
        <v>74</v>
      </c>
      <c r="C50" s="2" t="s">
        <v>44</v>
      </c>
      <c r="D50" s="2" t="s">
        <v>24</v>
      </c>
      <c r="E50" s="2" t="s">
        <v>51</v>
      </c>
      <c r="F50" s="2">
        <v>2</v>
      </c>
      <c r="G50" s="2">
        <v>333.53</v>
      </c>
      <c r="H50" s="2">
        <v>667.06</v>
      </c>
      <c r="I50" s="2">
        <v>627.05999999999995</v>
      </c>
      <c r="J50" s="2">
        <v>40</v>
      </c>
      <c r="K50" s="2" t="s">
        <v>19</v>
      </c>
      <c r="L50" s="2" t="s">
        <v>20</v>
      </c>
      <c r="M50" s="2" t="s">
        <v>21</v>
      </c>
      <c r="N50" s="2" t="s">
        <v>22</v>
      </c>
    </row>
    <row r="51" spans="1:14">
      <c r="A51" s="1">
        <v>45600</v>
      </c>
      <c r="B51" s="2" t="s">
        <v>50</v>
      </c>
      <c r="C51" s="2" t="s">
        <v>49</v>
      </c>
      <c r="D51" s="2" t="s">
        <v>24</v>
      </c>
      <c r="E51" s="2" t="s">
        <v>33</v>
      </c>
      <c r="F51" s="2">
        <v>10</v>
      </c>
      <c r="G51" s="2">
        <v>493.05</v>
      </c>
      <c r="H51" s="2">
        <v>4930.5</v>
      </c>
      <c r="I51" s="2">
        <v>4870.5</v>
      </c>
      <c r="J51" s="2">
        <v>60</v>
      </c>
      <c r="K51" s="2" t="s">
        <v>26</v>
      </c>
      <c r="L51" s="2" t="s">
        <v>35</v>
      </c>
      <c r="M51" s="2" t="s">
        <v>28</v>
      </c>
      <c r="N51" s="2" t="s">
        <v>29</v>
      </c>
    </row>
    <row r="52" spans="1:14">
      <c r="A52" s="1" t="s">
        <v>86</v>
      </c>
      <c r="B52" s="2" t="s">
        <v>60</v>
      </c>
      <c r="C52" s="2" t="s">
        <v>44</v>
      </c>
      <c r="D52" s="2" t="s">
        <v>17</v>
      </c>
      <c r="E52" s="2" t="s">
        <v>25</v>
      </c>
      <c r="F52" s="2">
        <v>2</v>
      </c>
      <c r="G52" s="2">
        <v>154.16</v>
      </c>
      <c r="H52" s="2">
        <v>308.32</v>
      </c>
      <c r="I52" s="2">
        <v>242.82</v>
      </c>
      <c r="J52" s="2">
        <v>65.5</v>
      </c>
      <c r="K52" s="2" t="s">
        <v>34</v>
      </c>
      <c r="L52" s="2" t="s">
        <v>27</v>
      </c>
      <c r="M52" s="2" t="s">
        <v>36</v>
      </c>
      <c r="N52" s="2" t="s">
        <v>37</v>
      </c>
    </row>
    <row r="53" spans="1:14">
      <c r="A53" s="1" t="s">
        <v>87</v>
      </c>
      <c r="B53" s="2" t="s">
        <v>88</v>
      </c>
      <c r="C53" s="2" t="s">
        <v>66</v>
      </c>
      <c r="D53" s="2" t="s">
        <v>55</v>
      </c>
      <c r="E53" s="2" t="s">
        <v>33</v>
      </c>
      <c r="F53" s="2">
        <v>10</v>
      </c>
      <c r="G53" s="2">
        <v>294.19</v>
      </c>
      <c r="H53" s="2">
        <v>2941.9</v>
      </c>
      <c r="I53" s="2">
        <v>2892.9</v>
      </c>
      <c r="J53" s="2">
        <v>49</v>
      </c>
      <c r="K53" s="2" t="s">
        <v>19</v>
      </c>
      <c r="L53" s="2" t="s">
        <v>20</v>
      </c>
      <c r="M53" s="2" t="s">
        <v>40</v>
      </c>
      <c r="N53" s="2" t="s">
        <v>22</v>
      </c>
    </row>
    <row r="54" spans="1:14">
      <c r="A54" s="1">
        <v>45506</v>
      </c>
      <c r="B54" s="2" t="s">
        <v>31</v>
      </c>
      <c r="C54" s="2" t="s">
        <v>32</v>
      </c>
      <c r="D54" s="2" t="s">
        <v>17</v>
      </c>
      <c r="E54" s="2" t="s">
        <v>18</v>
      </c>
      <c r="F54" s="2">
        <v>8</v>
      </c>
      <c r="G54" s="2">
        <v>307.88</v>
      </c>
      <c r="H54" s="2">
        <v>2463.04</v>
      </c>
      <c r="I54" s="2">
        <v>2423.04</v>
      </c>
      <c r="J54" s="2">
        <v>40</v>
      </c>
      <c r="K54" s="2" t="s">
        <v>26</v>
      </c>
      <c r="L54" s="2" t="s">
        <v>35</v>
      </c>
      <c r="M54" s="2" t="s">
        <v>21</v>
      </c>
      <c r="N54" s="2" t="s">
        <v>29</v>
      </c>
    </row>
    <row r="55" spans="1:14">
      <c r="A55" s="1" t="s">
        <v>73</v>
      </c>
      <c r="B55" s="2" t="s">
        <v>76</v>
      </c>
      <c r="C55" s="2" t="s">
        <v>49</v>
      </c>
      <c r="D55" s="2" t="s">
        <v>55</v>
      </c>
      <c r="E55" s="2" t="s">
        <v>18</v>
      </c>
      <c r="F55" s="2">
        <v>10</v>
      </c>
      <c r="G55" s="2">
        <v>223.77</v>
      </c>
      <c r="H55" s="2">
        <v>2237.6999999999998</v>
      </c>
      <c r="I55" s="2">
        <v>2177.6999999999998</v>
      </c>
      <c r="J55" s="2">
        <v>60</v>
      </c>
      <c r="K55" s="2" t="s">
        <v>34</v>
      </c>
      <c r="L55" s="2" t="s">
        <v>20</v>
      </c>
      <c r="M55" s="2" t="s">
        <v>28</v>
      </c>
      <c r="N55" s="2" t="s">
        <v>37</v>
      </c>
    </row>
    <row r="56" spans="1:14">
      <c r="A56" s="1" t="s">
        <v>52</v>
      </c>
      <c r="B56" s="2" t="s">
        <v>89</v>
      </c>
      <c r="C56" s="2" t="s">
        <v>32</v>
      </c>
      <c r="D56" s="2" t="s">
        <v>24</v>
      </c>
      <c r="E56" s="2" t="s">
        <v>51</v>
      </c>
      <c r="F56" s="2">
        <v>5</v>
      </c>
      <c r="G56" s="2">
        <v>83.92</v>
      </c>
      <c r="H56" s="2">
        <v>419.6</v>
      </c>
      <c r="I56" s="2">
        <v>354.1</v>
      </c>
      <c r="J56" s="2">
        <v>65.5</v>
      </c>
      <c r="K56" s="2" t="s">
        <v>19</v>
      </c>
      <c r="L56" s="2" t="s">
        <v>27</v>
      </c>
      <c r="M56" s="2" t="s">
        <v>36</v>
      </c>
      <c r="N56" s="2" t="s">
        <v>22</v>
      </c>
    </row>
    <row r="57" spans="1:14">
      <c r="A57" s="1" t="s">
        <v>90</v>
      </c>
      <c r="B57" s="2" t="s">
        <v>60</v>
      </c>
      <c r="C57" s="2" t="s">
        <v>44</v>
      </c>
      <c r="D57" s="2" t="s">
        <v>58</v>
      </c>
      <c r="E57" s="2" t="s">
        <v>18</v>
      </c>
      <c r="F57" s="2">
        <v>3</v>
      </c>
      <c r="G57" s="2">
        <v>191.55</v>
      </c>
      <c r="H57" s="2">
        <v>574.65</v>
      </c>
      <c r="I57" s="2">
        <v>525.65</v>
      </c>
      <c r="J57" s="2">
        <v>49</v>
      </c>
      <c r="K57" s="2" t="s">
        <v>26</v>
      </c>
      <c r="L57" s="2" t="s">
        <v>35</v>
      </c>
      <c r="M57" s="2" t="s">
        <v>40</v>
      </c>
      <c r="N57" s="2" t="s">
        <v>29</v>
      </c>
    </row>
    <row r="58" spans="1:14">
      <c r="A58" s="1">
        <v>45300</v>
      </c>
      <c r="B58" s="2" t="s">
        <v>15</v>
      </c>
      <c r="C58" s="2" t="s">
        <v>16</v>
      </c>
      <c r="D58" s="2" t="s">
        <v>55</v>
      </c>
      <c r="E58" s="2" t="s">
        <v>33</v>
      </c>
      <c r="F58" s="2">
        <v>5</v>
      </c>
      <c r="G58" s="2">
        <v>290.39</v>
      </c>
      <c r="H58" s="2">
        <v>1451.95</v>
      </c>
      <c r="I58" s="2">
        <v>1411.95</v>
      </c>
      <c r="J58" s="2">
        <v>40</v>
      </c>
      <c r="K58" s="2" t="s">
        <v>34</v>
      </c>
      <c r="L58" s="2" t="s">
        <v>20</v>
      </c>
      <c r="M58" s="2" t="s">
        <v>21</v>
      </c>
      <c r="N58" s="2" t="s">
        <v>37</v>
      </c>
    </row>
    <row r="59" spans="1:14">
      <c r="A59" s="1">
        <v>45451</v>
      </c>
      <c r="B59" s="2" t="s">
        <v>74</v>
      </c>
      <c r="C59" s="2" t="s">
        <v>44</v>
      </c>
      <c r="D59" s="2" t="s">
        <v>17</v>
      </c>
      <c r="E59" s="2" t="s">
        <v>18</v>
      </c>
      <c r="F59" s="2">
        <v>8</v>
      </c>
      <c r="G59" s="2">
        <v>89.62</v>
      </c>
      <c r="H59" s="2">
        <v>716.96</v>
      </c>
      <c r="I59" s="2">
        <v>656.96</v>
      </c>
      <c r="J59" s="2">
        <v>60</v>
      </c>
      <c r="K59" s="2" t="s">
        <v>19</v>
      </c>
      <c r="L59" s="2" t="s">
        <v>27</v>
      </c>
      <c r="M59" s="2" t="s">
        <v>28</v>
      </c>
      <c r="N59" s="2" t="s">
        <v>22</v>
      </c>
    </row>
    <row r="60" spans="1:14">
      <c r="A60" s="1">
        <v>45513</v>
      </c>
      <c r="B60" s="2" t="s">
        <v>89</v>
      </c>
      <c r="C60" s="2" t="s">
        <v>32</v>
      </c>
      <c r="D60" s="2" t="s">
        <v>58</v>
      </c>
      <c r="E60" s="2" t="s">
        <v>25</v>
      </c>
      <c r="F60" s="2">
        <v>7</v>
      </c>
      <c r="G60" s="2">
        <v>252.53</v>
      </c>
      <c r="H60" s="2">
        <v>1767.71</v>
      </c>
      <c r="I60" s="2">
        <v>1702.21</v>
      </c>
      <c r="J60" s="2">
        <v>65.5</v>
      </c>
      <c r="K60" s="2" t="s">
        <v>26</v>
      </c>
      <c r="L60" s="2" t="s">
        <v>20</v>
      </c>
      <c r="M60" s="2" t="s">
        <v>36</v>
      </c>
      <c r="N60" s="2" t="s">
        <v>29</v>
      </c>
    </row>
    <row r="61" spans="1:14">
      <c r="A61" s="1">
        <v>45567</v>
      </c>
      <c r="B61" s="2" t="s">
        <v>48</v>
      </c>
      <c r="C61" s="2" t="s">
        <v>49</v>
      </c>
      <c r="D61" s="2" t="s">
        <v>47</v>
      </c>
      <c r="E61" s="2" t="s">
        <v>25</v>
      </c>
      <c r="F61" s="2">
        <v>9</v>
      </c>
      <c r="G61" s="2">
        <v>127.33</v>
      </c>
      <c r="H61" s="2">
        <v>1145.97</v>
      </c>
      <c r="I61" s="2">
        <v>1096.97</v>
      </c>
      <c r="J61" s="2">
        <v>49</v>
      </c>
      <c r="K61" s="2" t="s">
        <v>34</v>
      </c>
      <c r="L61" s="2" t="s">
        <v>35</v>
      </c>
      <c r="M61" s="2" t="s">
        <v>40</v>
      </c>
      <c r="N61" s="2" t="s">
        <v>37</v>
      </c>
    </row>
    <row r="62" spans="1:14">
      <c r="A62" s="1">
        <v>45331</v>
      </c>
      <c r="B62" s="2" t="s">
        <v>69</v>
      </c>
      <c r="C62" s="2" t="s">
        <v>44</v>
      </c>
      <c r="D62" s="2" t="s">
        <v>58</v>
      </c>
      <c r="E62" s="2" t="s">
        <v>18</v>
      </c>
      <c r="F62" s="2">
        <v>4</v>
      </c>
      <c r="G62" s="2">
        <v>165.21</v>
      </c>
      <c r="H62" s="2">
        <v>660.84</v>
      </c>
      <c r="I62" s="2">
        <v>620.84</v>
      </c>
      <c r="J62" s="2">
        <v>40</v>
      </c>
      <c r="K62" s="2" t="s">
        <v>19</v>
      </c>
      <c r="L62" s="2" t="s">
        <v>20</v>
      </c>
      <c r="M62" s="2" t="s">
        <v>21</v>
      </c>
      <c r="N62" s="2" t="s">
        <v>22</v>
      </c>
    </row>
    <row r="63" spans="1:14">
      <c r="A63" s="1">
        <v>45353</v>
      </c>
      <c r="B63" s="2" t="s">
        <v>42</v>
      </c>
      <c r="C63" s="2" t="s">
        <v>16</v>
      </c>
      <c r="D63" s="2" t="s">
        <v>17</v>
      </c>
      <c r="E63" s="2" t="s">
        <v>18</v>
      </c>
      <c r="F63" s="2">
        <v>8</v>
      </c>
      <c r="G63" s="2">
        <v>292.8</v>
      </c>
      <c r="H63" s="2">
        <v>2342.4</v>
      </c>
      <c r="I63" s="2">
        <v>2282.4</v>
      </c>
      <c r="J63" s="2">
        <v>60</v>
      </c>
      <c r="K63" s="2" t="s">
        <v>26</v>
      </c>
      <c r="L63" s="2" t="s">
        <v>27</v>
      </c>
      <c r="M63" s="2" t="s">
        <v>28</v>
      </c>
      <c r="N63" s="2" t="s">
        <v>29</v>
      </c>
    </row>
    <row r="64" spans="1:14">
      <c r="A64" s="1" t="s">
        <v>91</v>
      </c>
      <c r="B64" s="2" t="s">
        <v>31</v>
      </c>
      <c r="C64" s="2" t="s">
        <v>32</v>
      </c>
      <c r="D64" s="2" t="s">
        <v>47</v>
      </c>
      <c r="E64" s="2" t="s">
        <v>25</v>
      </c>
      <c r="F64" s="2">
        <v>1</v>
      </c>
      <c r="G64" s="2">
        <v>327.33</v>
      </c>
      <c r="H64" s="2">
        <v>327.33</v>
      </c>
      <c r="I64" s="2">
        <v>261.83</v>
      </c>
      <c r="J64" s="2">
        <v>65.5</v>
      </c>
      <c r="K64" s="2" t="s">
        <v>34</v>
      </c>
      <c r="L64" s="2" t="s">
        <v>20</v>
      </c>
      <c r="M64" s="2" t="s">
        <v>36</v>
      </c>
      <c r="N64" s="2" t="s">
        <v>37</v>
      </c>
    </row>
    <row r="65" spans="1:14">
      <c r="A65" s="1" t="s">
        <v>92</v>
      </c>
      <c r="B65" s="2" t="s">
        <v>23</v>
      </c>
      <c r="C65" s="2" t="s">
        <v>16</v>
      </c>
      <c r="D65" s="2" t="s">
        <v>55</v>
      </c>
      <c r="E65" s="2" t="s">
        <v>51</v>
      </c>
      <c r="F65" s="2">
        <v>6</v>
      </c>
      <c r="G65" s="2">
        <v>201.52</v>
      </c>
      <c r="H65" s="2">
        <v>1209.1199999999999</v>
      </c>
      <c r="I65" s="2">
        <v>1160.1199999999999</v>
      </c>
      <c r="J65" s="2">
        <v>49</v>
      </c>
      <c r="K65" s="2" t="s">
        <v>19</v>
      </c>
      <c r="L65" s="2" t="s">
        <v>35</v>
      </c>
      <c r="M65" s="2" t="s">
        <v>40</v>
      </c>
      <c r="N65" s="2" t="s">
        <v>22</v>
      </c>
    </row>
    <row r="66" spans="1:14">
      <c r="A66" s="1" t="s">
        <v>93</v>
      </c>
      <c r="B66" s="2" t="s">
        <v>15</v>
      </c>
      <c r="C66" s="2" t="s">
        <v>16</v>
      </c>
      <c r="D66" s="2" t="s">
        <v>55</v>
      </c>
      <c r="E66" s="2" t="s">
        <v>33</v>
      </c>
      <c r="F66" s="2">
        <v>3</v>
      </c>
      <c r="G66" s="2">
        <v>487.82</v>
      </c>
      <c r="H66" s="2">
        <v>1463.46</v>
      </c>
      <c r="I66" s="2">
        <v>1423.46</v>
      </c>
      <c r="J66" s="2">
        <v>40</v>
      </c>
      <c r="K66" s="2" t="s">
        <v>26</v>
      </c>
      <c r="L66" s="2" t="s">
        <v>20</v>
      </c>
      <c r="M66" s="2" t="s">
        <v>21</v>
      </c>
      <c r="N66" s="2" t="s">
        <v>29</v>
      </c>
    </row>
    <row r="67" spans="1:14">
      <c r="A67" s="1" t="s">
        <v>94</v>
      </c>
      <c r="B67" s="2" t="s">
        <v>48</v>
      </c>
      <c r="C67" s="2" t="s">
        <v>49</v>
      </c>
      <c r="D67" s="2" t="s">
        <v>55</v>
      </c>
      <c r="E67" s="2" t="s">
        <v>51</v>
      </c>
      <c r="F67" s="2">
        <v>9</v>
      </c>
      <c r="G67" s="2">
        <v>334.1</v>
      </c>
      <c r="H67" s="2">
        <v>3006.9</v>
      </c>
      <c r="I67" s="2">
        <v>2946.9</v>
      </c>
      <c r="J67" s="2">
        <v>60</v>
      </c>
      <c r="K67" s="2" t="s">
        <v>34</v>
      </c>
      <c r="L67" s="2" t="s">
        <v>27</v>
      </c>
      <c r="M67" s="2" t="s">
        <v>28</v>
      </c>
      <c r="N67" s="2" t="s">
        <v>37</v>
      </c>
    </row>
    <row r="68" spans="1:14">
      <c r="A68" s="1">
        <v>45445</v>
      </c>
      <c r="B68" s="2" t="s">
        <v>39</v>
      </c>
      <c r="C68" s="2" t="s">
        <v>16</v>
      </c>
      <c r="D68" s="2" t="s">
        <v>58</v>
      </c>
      <c r="E68" s="2" t="s">
        <v>33</v>
      </c>
      <c r="F68" s="2">
        <v>10</v>
      </c>
      <c r="G68" s="2">
        <v>88.48</v>
      </c>
      <c r="H68" s="2">
        <v>884.8</v>
      </c>
      <c r="I68" s="2">
        <v>819.3</v>
      </c>
      <c r="J68" s="2">
        <v>65.5</v>
      </c>
      <c r="K68" s="2" t="s">
        <v>19</v>
      </c>
      <c r="L68" s="2" t="s">
        <v>20</v>
      </c>
      <c r="M68" s="2" t="s">
        <v>36</v>
      </c>
      <c r="N68" s="2" t="s">
        <v>22</v>
      </c>
    </row>
    <row r="69" spans="1:14">
      <c r="A69" s="1" t="s">
        <v>71</v>
      </c>
      <c r="B69" s="2" t="s">
        <v>42</v>
      </c>
      <c r="C69" s="2" t="s">
        <v>16</v>
      </c>
      <c r="D69" s="2" t="s">
        <v>24</v>
      </c>
      <c r="E69" s="2" t="s">
        <v>51</v>
      </c>
      <c r="F69" s="2">
        <v>2</v>
      </c>
      <c r="G69" s="2">
        <v>115.48</v>
      </c>
      <c r="H69" s="2">
        <v>230.96</v>
      </c>
      <c r="I69" s="2">
        <v>181.96</v>
      </c>
      <c r="J69" s="2">
        <v>49</v>
      </c>
      <c r="K69" s="2" t="s">
        <v>26</v>
      </c>
      <c r="L69" s="2" t="s">
        <v>35</v>
      </c>
      <c r="M69" s="2" t="s">
        <v>40</v>
      </c>
      <c r="N69" s="2" t="s">
        <v>29</v>
      </c>
    </row>
    <row r="70" spans="1:14">
      <c r="A70" s="1" t="s">
        <v>79</v>
      </c>
      <c r="B70" s="2" t="s">
        <v>42</v>
      </c>
      <c r="C70" s="2" t="s">
        <v>16</v>
      </c>
      <c r="D70" s="2" t="s">
        <v>58</v>
      </c>
      <c r="E70" s="2" t="s">
        <v>25</v>
      </c>
      <c r="F70" s="2">
        <v>1</v>
      </c>
      <c r="G70" s="2">
        <v>187.15</v>
      </c>
      <c r="H70" s="2">
        <v>187.15</v>
      </c>
      <c r="I70" s="2">
        <v>147.15</v>
      </c>
      <c r="J70" s="2">
        <v>40</v>
      </c>
      <c r="K70" s="2" t="s">
        <v>34</v>
      </c>
      <c r="L70" s="2" t="s">
        <v>27</v>
      </c>
      <c r="M70" s="2" t="s">
        <v>21</v>
      </c>
      <c r="N70" s="2" t="s">
        <v>37</v>
      </c>
    </row>
    <row r="71" spans="1:14">
      <c r="A71" s="1" t="s">
        <v>95</v>
      </c>
      <c r="B71" s="2" t="s">
        <v>50</v>
      </c>
      <c r="C71" s="2" t="s">
        <v>49</v>
      </c>
      <c r="D71" s="2" t="s">
        <v>55</v>
      </c>
      <c r="E71" s="2" t="s">
        <v>33</v>
      </c>
      <c r="F71" s="2">
        <v>8</v>
      </c>
      <c r="G71" s="2">
        <v>300.43</v>
      </c>
      <c r="H71" s="2">
        <v>2403.44</v>
      </c>
      <c r="I71" s="2">
        <v>2343.44</v>
      </c>
      <c r="J71" s="2">
        <v>60</v>
      </c>
      <c r="K71" s="2" t="s">
        <v>19</v>
      </c>
      <c r="L71" s="2" t="s">
        <v>20</v>
      </c>
      <c r="M71" s="2" t="s">
        <v>28</v>
      </c>
      <c r="N71" s="2" t="s">
        <v>22</v>
      </c>
    </row>
    <row r="72" spans="1:14">
      <c r="A72" s="1">
        <v>45383</v>
      </c>
      <c r="B72" s="2" t="s">
        <v>69</v>
      </c>
      <c r="C72" s="2" t="s">
        <v>44</v>
      </c>
      <c r="D72" s="2" t="s">
        <v>47</v>
      </c>
      <c r="E72" s="2" t="s">
        <v>33</v>
      </c>
      <c r="F72" s="2">
        <v>3</v>
      </c>
      <c r="G72" s="2">
        <v>22.62</v>
      </c>
      <c r="H72" s="2">
        <v>67.86</v>
      </c>
      <c r="I72" s="2">
        <v>2.36</v>
      </c>
      <c r="J72" s="2">
        <v>65.5</v>
      </c>
      <c r="K72" s="2" t="s">
        <v>26</v>
      </c>
      <c r="L72" s="2" t="s">
        <v>20</v>
      </c>
      <c r="M72" s="2" t="s">
        <v>36</v>
      </c>
      <c r="N72" s="2" t="s">
        <v>29</v>
      </c>
    </row>
    <row r="73" spans="1:14">
      <c r="A73" s="1">
        <v>45326</v>
      </c>
      <c r="B73" s="2" t="s">
        <v>53</v>
      </c>
      <c r="C73" s="2" t="s">
        <v>49</v>
      </c>
      <c r="D73" s="2" t="s">
        <v>58</v>
      </c>
      <c r="E73" s="2" t="s">
        <v>51</v>
      </c>
      <c r="F73" s="2">
        <v>3</v>
      </c>
      <c r="G73" s="2">
        <v>295.91000000000003</v>
      </c>
      <c r="H73" s="2">
        <v>887.73</v>
      </c>
      <c r="I73" s="2">
        <v>838.73</v>
      </c>
      <c r="J73" s="2">
        <v>49</v>
      </c>
      <c r="K73" s="2" t="s">
        <v>34</v>
      </c>
      <c r="L73" s="2" t="s">
        <v>35</v>
      </c>
      <c r="M73" s="2" t="s">
        <v>40</v>
      </c>
      <c r="N73" s="2" t="s">
        <v>37</v>
      </c>
    </row>
    <row r="74" spans="1:14">
      <c r="A74" s="1">
        <v>45392</v>
      </c>
      <c r="B74" s="2" t="s">
        <v>48</v>
      </c>
      <c r="C74" s="2" t="s">
        <v>49</v>
      </c>
      <c r="D74" s="2" t="s">
        <v>47</v>
      </c>
      <c r="E74" s="2" t="s">
        <v>18</v>
      </c>
      <c r="F74" s="2">
        <v>3</v>
      </c>
      <c r="G74" s="2">
        <v>183.7</v>
      </c>
      <c r="H74" s="2">
        <v>551.1</v>
      </c>
      <c r="I74" s="2">
        <v>511.1</v>
      </c>
      <c r="J74" s="2">
        <v>40</v>
      </c>
      <c r="K74" s="2" t="s">
        <v>19</v>
      </c>
      <c r="L74" s="2" t="s">
        <v>27</v>
      </c>
      <c r="M74" s="2" t="s">
        <v>21</v>
      </c>
      <c r="N74" s="2" t="s">
        <v>22</v>
      </c>
    </row>
    <row r="75" spans="1:14">
      <c r="A75" s="1">
        <v>45387</v>
      </c>
      <c r="B75" s="2" t="s">
        <v>53</v>
      </c>
      <c r="C75" s="2" t="s">
        <v>49</v>
      </c>
      <c r="D75" s="2" t="s">
        <v>55</v>
      </c>
      <c r="E75" s="2" t="s">
        <v>25</v>
      </c>
      <c r="F75" s="2">
        <v>3</v>
      </c>
      <c r="G75" s="2">
        <v>269.45999999999998</v>
      </c>
      <c r="H75" s="2">
        <v>808.38</v>
      </c>
      <c r="I75" s="2">
        <v>748.38</v>
      </c>
      <c r="J75" s="2">
        <v>60</v>
      </c>
      <c r="K75" s="2" t="s">
        <v>26</v>
      </c>
      <c r="L75" s="2" t="s">
        <v>20</v>
      </c>
      <c r="M75" s="2" t="s">
        <v>28</v>
      </c>
      <c r="N75" s="2" t="s">
        <v>29</v>
      </c>
    </row>
    <row r="76" spans="1:14">
      <c r="A76" s="1" t="s">
        <v>96</v>
      </c>
      <c r="B76" s="2" t="s">
        <v>53</v>
      </c>
      <c r="C76" s="2" t="s">
        <v>49</v>
      </c>
      <c r="D76" s="2" t="s">
        <v>24</v>
      </c>
      <c r="E76" s="2" t="s">
        <v>18</v>
      </c>
      <c r="F76" s="2">
        <v>4</v>
      </c>
      <c r="G76" s="2">
        <v>211.28</v>
      </c>
      <c r="H76" s="2">
        <v>845.12</v>
      </c>
      <c r="I76" s="2">
        <v>779.62</v>
      </c>
      <c r="J76" s="2">
        <v>65.5</v>
      </c>
      <c r="K76" s="2" t="s">
        <v>34</v>
      </c>
      <c r="L76" s="2" t="s">
        <v>27</v>
      </c>
      <c r="M76" s="2" t="s">
        <v>36</v>
      </c>
      <c r="N76" s="2" t="s">
        <v>37</v>
      </c>
    </row>
    <row r="77" spans="1:14">
      <c r="A77" s="1" t="s">
        <v>70</v>
      </c>
      <c r="B77" s="2" t="s">
        <v>23</v>
      </c>
      <c r="C77" s="2" t="s">
        <v>16</v>
      </c>
      <c r="D77" s="2" t="s">
        <v>47</v>
      </c>
      <c r="E77" s="2" t="s">
        <v>25</v>
      </c>
      <c r="F77" s="2">
        <v>5</v>
      </c>
      <c r="G77" s="2">
        <v>362.47</v>
      </c>
      <c r="H77" s="2">
        <v>1812.35</v>
      </c>
      <c r="I77" s="2">
        <v>1763.35</v>
      </c>
      <c r="J77" s="2">
        <v>49</v>
      </c>
      <c r="K77" s="2" t="s">
        <v>19</v>
      </c>
      <c r="L77" s="2" t="s">
        <v>20</v>
      </c>
      <c r="M77" s="2" t="s">
        <v>40</v>
      </c>
      <c r="N77" s="2" t="s">
        <v>22</v>
      </c>
    </row>
    <row r="78" spans="1:14">
      <c r="A78" s="1" t="s">
        <v>54</v>
      </c>
      <c r="B78" s="2" t="s">
        <v>65</v>
      </c>
      <c r="C78" s="2" t="s">
        <v>66</v>
      </c>
      <c r="D78" s="2" t="s">
        <v>55</v>
      </c>
      <c r="E78" s="2" t="s">
        <v>51</v>
      </c>
      <c r="F78" s="2">
        <v>8</v>
      </c>
      <c r="G78" s="2">
        <v>259.56</v>
      </c>
      <c r="H78" s="2">
        <v>2076.48</v>
      </c>
      <c r="I78" s="2">
        <v>2036.48</v>
      </c>
      <c r="J78" s="2">
        <v>40</v>
      </c>
      <c r="K78" s="2" t="s">
        <v>26</v>
      </c>
      <c r="L78" s="2" t="s">
        <v>20</v>
      </c>
      <c r="M78" s="2" t="s">
        <v>21</v>
      </c>
      <c r="N78" s="2" t="s">
        <v>29</v>
      </c>
    </row>
    <row r="79" spans="1:14">
      <c r="A79" s="1">
        <v>45506</v>
      </c>
      <c r="B79" s="2" t="s">
        <v>23</v>
      </c>
      <c r="C79" s="2" t="s">
        <v>16</v>
      </c>
      <c r="D79" s="2" t="s">
        <v>47</v>
      </c>
      <c r="E79" s="2" t="s">
        <v>51</v>
      </c>
      <c r="F79" s="2">
        <v>1</v>
      </c>
      <c r="G79" s="2">
        <v>134.63</v>
      </c>
      <c r="H79" s="2">
        <v>134.63</v>
      </c>
      <c r="I79" s="2">
        <v>74.63</v>
      </c>
      <c r="J79" s="2">
        <v>60</v>
      </c>
      <c r="K79" s="2" t="s">
        <v>34</v>
      </c>
      <c r="L79" s="2" t="s">
        <v>35</v>
      </c>
      <c r="M79" s="2" t="s">
        <v>28</v>
      </c>
      <c r="N79" s="2" t="s">
        <v>37</v>
      </c>
    </row>
    <row r="80" spans="1:14">
      <c r="A80" s="1" t="s">
        <v>97</v>
      </c>
      <c r="B80" s="2" t="s">
        <v>53</v>
      </c>
      <c r="C80" s="2" t="s">
        <v>49</v>
      </c>
      <c r="D80" s="2" t="s">
        <v>55</v>
      </c>
      <c r="E80" s="2" t="s">
        <v>25</v>
      </c>
      <c r="F80" s="2">
        <v>10</v>
      </c>
      <c r="G80" s="2">
        <v>272.01</v>
      </c>
      <c r="H80" s="2">
        <v>2720.1</v>
      </c>
      <c r="I80" s="2">
        <v>2654.6</v>
      </c>
      <c r="J80" s="2">
        <v>65.5</v>
      </c>
      <c r="K80" s="2" t="s">
        <v>19</v>
      </c>
      <c r="L80" s="2" t="s">
        <v>27</v>
      </c>
      <c r="M80" s="2" t="s">
        <v>36</v>
      </c>
      <c r="N80" s="2" t="s">
        <v>22</v>
      </c>
    </row>
    <row r="81" spans="1:14">
      <c r="A81" s="1" t="s">
        <v>98</v>
      </c>
      <c r="B81" s="2" t="s">
        <v>43</v>
      </c>
      <c r="C81" s="2" t="s">
        <v>44</v>
      </c>
      <c r="D81" s="2" t="s">
        <v>55</v>
      </c>
      <c r="E81" s="2" t="s">
        <v>51</v>
      </c>
      <c r="F81" s="2">
        <v>4</v>
      </c>
      <c r="G81" s="2">
        <v>265.89</v>
      </c>
      <c r="H81" s="2">
        <v>1063.56</v>
      </c>
      <c r="I81" s="2">
        <v>1014.56</v>
      </c>
      <c r="J81" s="2">
        <v>49</v>
      </c>
      <c r="K81" s="2" t="s">
        <v>26</v>
      </c>
      <c r="L81" s="2" t="s">
        <v>20</v>
      </c>
      <c r="M81" s="2" t="s">
        <v>40</v>
      </c>
      <c r="N81" s="2" t="s">
        <v>29</v>
      </c>
    </row>
    <row r="82" spans="1:14">
      <c r="A82" s="1" t="s">
        <v>99</v>
      </c>
      <c r="B82" s="2" t="s">
        <v>48</v>
      </c>
      <c r="C82" s="2" t="s">
        <v>49</v>
      </c>
      <c r="D82" s="2" t="s">
        <v>17</v>
      </c>
      <c r="E82" s="2" t="s">
        <v>25</v>
      </c>
      <c r="F82" s="2">
        <v>4</v>
      </c>
      <c r="G82" s="2">
        <v>327.41000000000003</v>
      </c>
      <c r="H82" s="2">
        <v>1309.6400000000001</v>
      </c>
      <c r="I82" s="2">
        <v>1269.6400000000001</v>
      </c>
      <c r="J82" s="2">
        <v>40</v>
      </c>
      <c r="K82" s="2" t="s">
        <v>34</v>
      </c>
      <c r="L82" s="2" t="s">
        <v>20</v>
      </c>
      <c r="M82" s="2" t="s">
        <v>21</v>
      </c>
      <c r="N82" s="2" t="s">
        <v>37</v>
      </c>
    </row>
    <row r="83" spans="1:14">
      <c r="A83" s="1" t="s">
        <v>100</v>
      </c>
      <c r="B83" s="2" t="s">
        <v>46</v>
      </c>
      <c r="C83" s="2" t="s">
        <v>32</v>
      </c>
      <c r="D83" s="2" t="s">
        <v>17</v>
      </c>
      <c r="E83" s="2" t="s">
        <v>18</v>
      </c>
      <c r="F83" s="2">
        <v>2</v>
      </c>
      <c r="G83" s="2">
        <v>395.91</v>
      </c>
      <c r="H83" s="2">
        <v>791.82</v>
      </c>
      <c r="I83" s="2">
        <v>731.82</v>
      </c>
      <c r="J83" s="2">
        <v>60</v>
      </c>
      <c r="K83" s="2" t="s">
        <v>19</v>
      </c>
      <c r="L83" s="2" t="s">
        <v>35</v>
      </c>
      <c r="M83" s="2" t="s">
        <v>28</v>
      </c>
      <c r="N83" s="2" t="s">
        <v>22</v>
      </c>
    </row>
    <row r="84" spans="1:14">
      <c r="A84" s="1">
        <v>45540</v>
      </c>
      <c r="B84" s="2" t="s">
        <v>50</v>
      </c>
      <c r="C84" s="2" t="s">
        <v>49</v>
      </c>
      <c r="D84" s="2" t="s">
        <v>24</v>
      </c>
      <c r="E84" s="2" t="s">
        <v>25</v>
      </c>
      <c r="F84" s="2">
        <v>10</v>
      </c>
      <c r="G84" s="2">
        <v>66.56</v>
      </c>
      <c r="H84" s="2">
        <v>665.6</v>
      </c>
      <c r="I84" s="2">
        <v>600.1</v>
      </c>
      <c r="J84" s="2">
        <v>65.5</v>
      </c>
      <c r="K84" s="2" t="s">
        <v>26</v>
      </c>
      <c r="L84" s="2" t="s">
        <v>27</v>
      </c>
      <c r="M84" s="2" t="s">
        <v>36</v>
      </c>
      <c r="N84" s="2" t="s">
        <v>29</v>
      </c>
    </row>
    <row r="85" spans="1:14">
      <c r="A85" s="1" t="s">
        <v>101</v>
      </c>
      <c r="B85" s="2" t="s">
        <v>43</v>
      </c>
      <c r="C85" s="2" t="s">
        <v>44</v>
      </c>
      <c r="D85" s="2" t="s">
        <v>55</v>
      </c>
      <c r="E85" s="2" t="s">
        <v>33</v>
      </c>
      <c r="F85" s="2">
        <v>5</v>
      </c>
      <c r="G85" s="2">
        <v>432.3</v>
      </c>
      <c r="H85" s="2">
        <v>2161.5</v>
      </c>
      <c r="I85" s="2">
        <v>2112.5</v>
      </c>
      <c r="J85" s="2">
        <v>49</v>
      </c>
      <c r="K85" s="2" t="s">
        <v>34</v>
      </c>
      <c r="L85" s="2" t="s">
        <v>20</v>
      </c>
      <c r="M85" s="2" t="s">
        <v>40</v>
      </c>
      <c r="N85" s="2" t="s">
        <v>37</v>
      </c>
    </row>
    <row r="86" spans="1:14">
      <c r="A86" s="1" t="s">
        <v>102</v>
      </c>
      <c r="B86" s="2" t="s">
        <v>42</v>
      </c>
      <c r="C86" s="2" t="s">
        <v>16</v>
      </c>
      <c r="D86" s="2" t="s">
        <v>47</v>
      </c>
      <c r="E86" s="2" t="s">
        <v>33</v>
      </c>
      <c r="F86" s="2">
        <v>7</v>
      </c>
      <c r="G86" s="2">
        <v>272.05</v>
      </c>
      <c r="H86" s="2">
        <v>1904.35</v>
      </c>
      <c r="I86" s="2">
        <v>1864.35</v>
      </c>
      <c r="J86" s="2">
        <v>40</v>
      </c>
      <c r="K86" s="2" t="s">
        <v>19</v>
      </c>
      <c r="L86" s="2" t="s">
        <v>20</v>
      </c>
      <c r="M86" s="2" t="s">
        <v>21</v>
      </c>
      <c r="N86" s="2" t="s">
        <v>22</v>
      </c>
    </row>
    <row r="87" spans="1:14">
      <c r="A87" s="1">
        <v>45603</v>
      </c>
      <c r="B87" s="2" t="s">
        <v>46</v>
      </c>
      <c r="C87" s="2" t="s">
        <v>32</v>
      </c>
      <c r="D87" s="2" t="s">
        <v>55</v>
      </c>
      <c r="E87" s="2" t="s">
        <v>51</v>
      </c>
      <c r="F87" s="2">
        <v>7</v>
      </c>
      <c r="G87" s="2">
        <v>301.27999999999997</v>
      </c>
      <c r="H87" s="2">
        <v>2108.96</v>
      </c>
      <c r="I87" s="2">
        <v>2048.96</v>
      </c>
      <c r="J87" s="2">
        <v>60</v>
      </c>
      <c r="K87" s="2" t="s">
        <v>26</v>
      </c>
      <c r="L87" s="2" t="s">
        <v>35</v>
      </c>
      <c r="M87" s="2" t="s">
        <v>28</v>
      </c>
      <c r="N87" s="2" t="s">
        <v>29</v>
      </c>
    </row>
    <row r="88" spans="1:14">
      <c r="A88" s="1">
        <v>45479</v>
      </c>
      <c r="B88" s="2" t="s">
        <v>42</v>
      </c>
      <c r="C88" s="2" t="s">
        <v>16</v>
      </c>
      <c r="D88" s="2" t="s">
        <v>47</v>
      </c>
      <c r="E88" s="2" t="s">
        <v>18</v>
      </c>
      <c r="F88" s="2">
        <v>9</v>
      </c>
      <c r="G88" s="2">
        <v>23.52</v>
      </c>
      <c r="H88" s="2">
        <v>211.68</v>
      </c>
      <c r="I88" s="2">
        <v>146.18</v>
      </c>
      <c r="J88" s="2">
        <v>65.5</v>
      </c>
      <c r="K88" s="2" t="s">
        <v>34</v>
      </c>
      <c r="L88" s="2" t="s">
        <v>20</v>
      </c>
      <c r="M88" s="2" t="s">
        <v>36</v>
      </c>
      <c r="N88" s="2" t="s">
        <v>37</v>
      </c>
    </row>
    <row r="89" spans="1:14">
      <c r="A89" s="1" t="s">
        <v>103</v>
      </c>
      <c r="B89" s="2" t="s">
        <v>88</v>
      </c>
      <c r="C89" s="2" t="s">
        <v>66</v>
      </c>
      <c r="D89" s="2" t="s">
        <v>24</v>
      </c>
      <c r="E89" s="2" t="s">
        <v>18</v>
      </c>
      <c r="F89" s="2">
        <v>6</v>
      </c>
      <c r="G89" s="2">
        <v>281.85000000000002</v>
      </c>
      <c r="H89" s="2">
        <v>1691.1</v>
      </c>
      <c r="I89" s="2">
        <v>1642.1</v>
      </c>
      <c r="J89" s="2">
        <v>49</v>
      </c>
      <c r="K89" s="2" t="s">
        <v>19</v>
      </c>
      <c r="L89" s="2" t="s">
        <v>27</v>
      </c>
      <c r="M89" s="2" t="s">
        <v>40</v>
      </c>
      <c r="N89" s="2" t="s">
        <v>22</v>
      </c>
    </row>
    <row r="90" spans="1:14">
      <c r="A90" s="1" t="s">
        <v>104</v>
      </c>
      <c r="B90" s="2" t="s">
        <v>15</v>
      </c>
      <c r="C90" s="2" t="s">
        <v>16</v>
      </c>
      <c r="D90" s="2" t="s">
        <v>55</v>
      </c>
      <c r="E90" s="2" t="s">
        <v>33</v>
      </c>
      <c r="F90" s="2">
        <v>6</v>
      </c>
      <c r="G90" s="2">
        <v>157.88</v>
      </c>
      <c r="H90" s="2">
        <v>947.28</v>
      </c>
      <c r="I90" s="2">
        <v>907.28</v>
      </c>
      <c r="J90" s="2">
        <v>40</v>
      </c>
      <c r="K90" s="2" t="s">
        <v>26</v>
      </c>
      <c r="L90" s="2" t="s">
        <v>35</v>
      </c>
      <c r="M90" s="2" t="s">
        <v>21</v>
      </c>
      <c r="N90" s="2" t="s">
        <v>29</v>
      </c>
    </row>
    <row r="91" spans="1:14">
      <c r="A91" s="1">
        <v>45301</v>
      </c>
      <c r="B91" s="2" t="s">
        <v>88</v>
      </c>
      <c r="C91" s="2" t="s">
        <v>66</v>
      </c>
      <c r="D91" s="2" t="s">
        <v>24</v>
      </c>
      <c r="E91" s="2" t="s">
        <v>18</v>
      </c>
      <c r="F91" s="2">
        <v>7</v>
      </c>
      <c r="G91" s="2">
        <v>98.66</v>
      </c>
      <c r="H91" s="2">
        <v>690.62</v>
      </c>
      <c r="I91" s="2">
        <v>630.62</v>
      </c>
      <c r="J91" s="2">
        <v>60</v>
      </c>
      <c r="K91" s="2" t="s">
        <v>34</v>
      </c>
      <c r="L91" s="2" t="s">
        <v>20</v>
      </c>
      <c r="M91" s="2" t="s">
        <v>28</v>
      </c>
      <c r="N91" s="2" t="s">
        <v>37</v>
      </c>
    </row>
    <row r="92" spans="1:14">
      <c r="A92" s="1">
        <v>45507</v>
      </c>
      <c r="B92" s="2" t="s">
        <v>88</v>
      </c>
      <c r="C92" s="2" t="s">
        <v>66</v>
      </c>
      <c r="D92" s="2" t="s">
        <v>47</v>
      </c>
      <c r="E92" s="2" t="s">
        <v>33</v>
      </c>
      <c r="F92" s="2">
        <v>2</v>
      </c>
      <c r="G92" s="2">
        <v>37.119999999999997</v>
      </c>
      <c r="H92" s="2">
        <v>74.239999999999995</v>
      </c>
      <c r="I92" s="2">
        <v>8.74</v>
      </c>
      <c r="J92" s="2">
        <v>65.5</v>
      </c>
      <c r="K92" s="2" t="s">
        <v>19</v>
      </c>
      <c r="L92" s="2" t="s">
        <v>27</v>
      </c>
      <c r="M92" s="2" t="s">
        <v>36</v>
      </c>
      <c r="N92" s="2" t="s">
        <v>22</v>
      </c>
    </row>
    <row r="93" spans="1:14">
      <c r="A93" s="1" t="s">
        <v>105</v>
      </c>
      <c r="B93" s="2" t="s">
        <v>69</v>
      </c>
      <c r="C93" s="2" t="s">
        <v>44</v>
      </c>
      <c r="D93" s="2" t="s">
        <v>47</v>
      </c>
      <c r="E93" s="2" t="s">
        <v>18</v>
      </c>
      <c r="F93" s="2">
        <v>9</v>
      </c>
      <c r="G93" s="2">
        <v>191.38</v>
      </c>
      <c r="H93" s="2">
        <v>1722.42</v>
      </c>
      <c r="I93" s="2">
        <v>1673.42</v>
      </c>
      <c r="J93" s="2">
        <v>49</v>
      </c>
      <c r="K93" s="2" t="s">
        <v>26</v>
      </c>
      <c r="L93" s="2" t="s">
        <v>35</v>
      </c>
      <c r="M93" s="2" t="s">
        <v>40</v>
      </c>
      <c r="N93" s="2" t="s">
        <v>29</v>
      </c>
    </row>
    <row r="94" spans="1:14">
      <c r="A94" s="1" t="s">
        <v>106</v>
      </c>
      <c r="B94" s="2" t="s">
        <v>60</v>
      </c>
      <c r="C94" s="2" t="s">
        <v>44</v>
      </c>
      <c r="D94" s="2" t="s">
        <v>55</v>
      </c>
      <c r="E94" s="2" t="s">
        <v>25</v>
      </c>
      <c r="F94" s="2">
        <v>2</v>
      </c>
      <c r="G94" s="2">
        <v>301.12</v>
      </c>
      <c r="H94" s="2">
        <v>602.24</v>
      </c>
      <c r="I94" s="2">
        <v>562.24</v>
      </c>
      <c r="J94" s="2">
        <v>40</v>
      </c>
      <c r="K94" s="2" t="s">
        <v>34</v>
      </c>
      <c r="L94" s="2" t="s">
        <v>20</v>
      </c>
      <c r="M94" s="2" t="s">
        <v>21</v>
      </c>
      <c r="N94" s="2" t="s">
        <v>37</v>
      </c>
    </row>
    <row r="95" spans="1:14">
      <c r="A95" s="1">
        <v>45331</v>
      </c>
      <c r="B95" s="2" t="s">
        <v>78</v>
      </c>
      <c r="C95" s="2" t="s">
        <v>66</v>
      </c>
      <c r="D95" s="2" t="s">
        <v>58</v>
      </c>
      <c r="E95" s="2" t="s">
        <v>51</v>
      </c>
      <c r="F95" s="2">
        <v>4</v>
      </c>
      <c r="G95" s="2">
        <v>415.24</v>
      </c>
      <c r="H95" s="2">
        <v>1660.96</v>
      </c>
      <c r="I95" s="2">
        <v>1600.96</v>
      </c>
      <c r="J95" s="2">
        <v>60</v>
      </c>
      <c r="K95" s="2" t="s">
        <v>19</v>
      </c>
      <c r="L95" s="2" t="s">
        <v>20</v>
      </c>
      <c r="M95" s="2" t="s">
        <v>28</v>
      </c>
      <c r="N95" s="2" t="s">
        <v>22</v>
      </c>
    </row>
    <row r="96" spans="1:14">
      <c r="A96" s="1" t="s">
        <v>107</v>
      </c>
      <c r="B96" s="2" t="s">
        <v>60</v>
      </c>
      <c r="C96" s="2" t="s">
        <v>44</v>
      </c>
      <c r="D96" s="2" t="s">
        <v>47</v>
      </c>
      <c r="E96" s="2" t="s">
        <v>18</v>
      </c>
      <c r="F96" s="2">
        <v>3</v>
      </c>
      <c r="G96" s="2">
        <v>115.83</v>
      </c>
      <c r="H96" s="2">
        <v>347.49</v>
      </c>
      <c r="I96" s="2">
        <v>281.99</v>
      </c>
      <c r="J96" s="2">
        <v>65.5</v>
      </c>
      <c r="K96" s="2" t="s">
        <v>26</v>
      </c>
      <c r="L96" s="2" t="s">
        <v>27</v>
      </c>
      <c r="M96" s="2" t="s">
        <v>36</v>
      </c>
      <c r="N96" s="2" t="s">
        <v>29</v>
      </c>
    </row>
    <row r="97" spans="1:14">
      <c r="A97" s="1" t="s">
        <v>108</v>
      </c>
      <c r="B97" s="2" t="s">
        <v>89</v>
      </c>
      <c r="C97" s="2" t="s">
        <v>32</v>
      </c>
      <c r="D97" s="2" t="s">
        <v>47</v>
      </c>
      <c r="E97" s="2" t="s">
        <v>51</v>
      </c>
      <c r="F97" s="2">
        <v>6</v>
      </c>
      <c r="G97" s="2">
        <v>229.86</v>
      </c>
      <c r="H97" s="2">
        <v>1379.16</v>
      </c>
      <c r="I97" s="2">
        <v>1330.16</v>
      </c>
      <c r="J97" s="2">
        <v>49</v>
      </c>
      <c r="K97" s="2" t="s">
        <v>34</v>
      </c>
      <c r="L97" s="2" t="s">
        <v>20</v>
      </c>
      <c r="M97" s="2" t="s">
        <v>40</v>
      </c>
      <c r="N97" s="2" t="s">
        <v>37</v>
      </c>
    </row>
    <row r="98" spans="1:14">
      <c r="A98" s="1" t="s">
        <v>109</v>
      </c>
      <c r="B98" s="2" t="s">
        <v>50</v>
      </c>
      <c r="C98" s="2" t="s">
        <v>49</v>
      </c>
      <c r="D98" s="2" t="s">
        <v>55</v>
      </c>
      <c r="E98" s="2" t="s">
        <v>33</v>
      </c>
      <c r="F98" s="2">
        <v>10</v>
      </c>
      <c r="G98" s="2">
        <v>98.84</v>
      </c>
      <c r="H98" s="2">
        <v>988.4</v>
      </c>
      <c r="I98" s="2">
        <v>948.4</v>
      </c>
      <c r="J98" s="2">
        <v>40</v>
      </c>
      <c r="K98" s="2" t="s">
        <v>19</v>
      </c>
      <c r="L98" s="2" t="s">
        <v>35</v>
      </c>
      <c r="M98" s="2" t="s">
        <v>21</v>
      </c>
      <c r="N98" s="2" t="s">
        <v>22</v>
      </c>
    </row>
    <row r="99" spans="1:14">
      <c r="A99" s="1">
        <v>45360</v>
      </c>
      <c r="B99" s="2" t="s">
        <v>110</v>
      </c>
      <c r="C99" s="2" t="s">
        <v>66</v>
      </c>
      <c r="D99" s="2" t="s">
        <v>55</v>
      </c>
      <c r="E99" s="2" t="s">
        <v>25</v>
      </c>
      <c r="F99" s="2">
        <v>10</v>
      </c>
      <c r="G99" s="2">
        <v>200.83</v>
      </c>
      <c r="H99" s="2">
        <v>2008.3</v>
      </c>
      <c r="I99" s="2">
        <v>1948.3</v>
      </c>
      <c r="J99" s="2">
        <v>60</v>
      </c>
      <c r="K99" s="2" t="s">
        <v>26</v>
      </c>
      <c r="L99" s="2" t="s">
        <v>27</v>
      </c>
      <c r="M99" s="2" t="s">
        <v>28</v>
      </c>
      <c r="N99" s="2" t="s">
        <v>29</v>
      </c>
    </row>
    <row r="100" spans="1:14">
      <c r="A100" s="1">
        <v>45485</v>
      </c>
      <c r="B100" s="2" t="s">
        <v>42</v>
      </c>
      <c r="C100" s="2" t="s">
        <v>16</v>
      </c>
      <c r="D100" s="2" t="s">
        <v>24</v>
      </c>
      <c r="E100" s="2" t="s">
        <v>51</v>
      </c>
      <c r="F100" s="2">
        <v>1</v>
      </c>
      <c r="G100" s="2">
        <v>310.54000000000002</v>
      </c>
      <c r="H100" s="2">
        <v>310.54000000000002</v>
      </c>
      <c r="I100" s="2">
        <v>245.04</v>
      </c>
      <c r="J100" s="2">
        <v>65.5</v>
      </c>
      <c r="K100" s="2" t="s">
        <v>34</v>
      </c>
      <c r="L100" s="2" t="s">
        <v>20</v>
      </c>
      <c r="M100" s="2" t="s">
        <v>36</v>
      </c>
      <c r="N100" s="2" t="s">
        <v>37</v>
      </c>
    </row>
    <row r="101" spans="1:14">
      <c r="A101" s="1">
        <v>45297</v>
      </c>
      <c r="B101" s="2" t="s">
        <v>43</v>
      </c>
      <c r="C101" s="2" t="s">
        <v>44</v>
      </c>
      <c r="D101" s="2" t="s">
        <v>55</v>
      </c>
      <c r="E101" s="2" t="s">
        <v>25</v>
      </c>
      <c r="F101" s="2">
        <v>8</v>
      </c>
      <c r="G101" s="2">
        <v>228.57</v>
      </c>
      <c r="H101" s="2">
        <v>1828.56</v>
      </c>
      <c r="I101" s="2">
        <v>1779.56</v>
      </c>
      <c r="J101" s="2">
        <v>49</v>
      </c>
      <c r="K101" s="2" t="s">
        <v>19</v>
      </c>
      <c r="L101" s="2" t="s">
        <v>35</v>
      </c>
      <c r="M101" s="2" t="s">
        <v>40</v>
      </c>
      <c r="N101" s="2" t="s">
        <v>22</v>
      </c>
    </row>
    <row r="102" spans="1:14">
      <c r="A102" s="1" t="s">
        <v>111</v>
      </c>
      <c r="B102" s="2" t="s">
        <v>48</v>
      </c>
      <c r="C102" s="2" t="s">
        <v>49</v>
      </c>
      <c r="D102" s="2" t="s">
        <v>58</v>
      </c>
      <c r="E102" s="2" t="s">
        <v>33</v>
      </c>
      <c r="F102" s="2">
        <v>2</v>
      </c>
      <c r="G102" s="2">
        <v>495.03</v>
      </c>
      <c r="H102" s="2">
        <v>990.06</v>
      </c>
      <c r="I102" s="2">
        <v>950.06</v>
      </c>
      <c r="J102" s="2">
        <v>40</v>
      </c>
      <c r="K102" s="2" t="s">
        <v>26</v>
      </c>
      <c r="L102" s="2" t="s">
        <v>20</v>
      </c>
      <c r="M102" s="2" t="s">
        <v>21</v>
      </c>
      <c r="N102" s="2" t="s">
        <v>29</v>
      </c>
    </row>
    <row r="103" spans="1:14">
      <c r="A103" s="1" t="s">
        <v>112</v>
      </c>
      <c r="B103" s="2" t="s">
        <v>89</v>
      </c>
      <c r="C103" s="2" t="s">
        <v>32</v>
      </c>
      <c r="D103" s="2" t="s">
        <v>55</v>
      </c>
      <c r="E103" s="2" t="s">
        <v>51</v>
      </c>
      <c r="F103" s="2">
        <v>7</v>
      </c>
      <c r="G103" s="2">
        <v>75.27</v>
      </c>
      <c r="H103" s="2">
        <v>526.89</v>
      </c>
      <c r="I103" s="2">
        <v>466.89</v>
      </c>
      <c r="J103" s="2">
        <v>60</v>
      </c>
      <c r="K103" s="2" t="s">
        <v>34</v>
      </c>
      <c r="L103" s="2" t="s">
        <v>27</v>
      </c>
      <c r="M103" s="2" t="s">
        <v>28</v>
      </c>
      <c r="N103" s="2" t="s">
        <v>37</v>
      </c>
    </row>
    <row r="104" spans="1:14">
      <c r="A104" s="1" t="s">
        <v>113</v>
      </c>
      <c r="B104" s="2" t="s">
        <v>31</v>
      </c>
      <c r="C104" s="2" t="s">
        <v>32</v>
      </c>
      <c r="D104" s="2" t="s">
        <v>24</v>
      </c>
      <c r="E104" s="2" t="s">
        <v>18</v>
      </c>
      <c r="F104" s="2">
        <v>6</v>
      </c>
      <c r="G104" s="2">
        <v>156.28</v>
      </c>
      <c r="H104" s="2">
        <v>937.68</v>
      </c>
      <c r="I104" s="2">
        <v>872.18</v>
      </c>
      <c r="J104" s="2">
        <v>65.5</v>
      </c>
      <c r="K104" s="2" t="s">
        <v>19</v>
      </c>
      <c r="L104" s="2" t="s">
        <v>20</v>
      </c>
      <c r="M104" s="2" t="s">
        <v>36</v>
      </c>
      <c r="N104" s="2" t="s">
        <v>22</v>
      </c>
    </row>
    <row r="105" spans="1:14">
      <c r="A105" s="1">
        <v>45300</v>
      </c>
      <c r="B105" s="2" t="s">
        <v>43</v>
      </c>
      <c r="C105" s="2" t="s">
        <v>44</v>
      </c>
      <c r="D105" s="2" t="s">
        <v>47</v>
      </c>
      <c r="E105" s="2" t="s">
        <v>51</v>
      </c>
      <c r="F105" s="2">
        <v>5</v>
      </c>
      <c r="G105" s="2">
        <v>273.58</v>
      </c>
      <c r="H105" s="2">
        <v>1367.9</v>
      </c>
      <c r="I105" s="2">
        <v>1318.9</v>
      </c>
      <c r="J105" s="2">
        <v>49</v>
      </c>
      <c r="K105" s="2" t="s">
        <v>26</v>
      </c>
      <c r="L105" s="2" t="s">
        <v>35</v>
      </c>
      <c r="M105" s="2" t="s">
        <v>40</v>
      </c>
      <c r="N105" s="2" t="s">
        <v>29</v>
      </c>
    </row>
    <row r="106" spans="1:14">
      <c r="A106" s="1" t="s">
        <v>114</v>
      </c>
      <c r="B106" s="2" t="s">
        <v>15</v>
      </c>
      <c r="C106" s="2" t="s">
        <v>16</v>
      </c>
      <c r="D106" s="2" t="s">
        <v>55</v>
      </c>
      <c r="E106" s="2" t="s">
        <v>25</v>
      </c>
      <c r="F106" s="2">
        <v>9</v>
      </c>
      <c r="G106" s="2">
        <v>393.82</v>
      </c>
      <c r="H106" s="2">
        <v>3544.38</v>
      </c>
      <c r="I106" s="2">
        <v>3504.38</v>
      </c>
      <c r="J106" s="2">
        <v>40</v>
      </c>
      <c r="K106" s="2" t="s">
        <v>34</v>
      </c>
      <c r="L106" s="2" t="s">
        <v>20</v>
      </c>
      <c r="M106" s="2" t="s">
        <v>21</v>
      </c>
      <c r="N106" s="2" t="s">
        <v>37</v>
      </c>
    </row>
    <row r="107" spans="1:14">
      <c r="A107" s="1" t="s">
        <v>104</v>
      </c>
      <c r="B107" s="2" t="s">
        <v>53</v>
      </c>
      <c r="C107" s="2" t="s">
        <v>49</v>
      </c>
      <c r="D107" s="2" t="s">
        <v>58</v>
      </c>
      <c r="E107" s="2" t="s">
        <v>33</v>
      </c>
      <c r="F107" s="2">
        <v>5</v>
      </c>
      <c r="G107" s="2">
        <v>439.15</v>
      </c>
      <c r="H107" s="2">
        <v>2195.75</v>
      </c>
      <c r="I107" s="2">
        <v>2135.75</v>
      </c>
      <c r="J107" s="2">
        <v>60</v>
      </c>
      <c r="K107" s="2" t="s">
        <v>19</v>
      </c>
      <c r="L107" s="2" t="s">
        <v>27</v>
      </c>
      <c r="M107" s="2" t="s">
        <v>28</v>
      </c>
      <c r="N107" s="2" t="s">
        <v>22</v>
      </c>
    </row>
    <row r="108" spans="1:14">
      <c r="A108" s="1" t="s">
        <v>86</v>
      </c>
      <c r="B108" s="2" t="s">
        <v>53</v>
      </c>
      <c r="C108" s="2" t="s">
        <v>49</v>
      </c>
      <c r="D108" s="2" t="s">
        <v>58</v>
      </c>
      <c r="E108" s="2" t="s">
        <v>33</v>
      </c>
      <c r="F108" s="2">
        <v>5</v>
      </c>
      <c r="G108" s="2">
        <v>417.04</v>
      </c>
      <c r="H108" s="2">
        <v>2085.1999999999998</v>
      </c>
      <c r="I108" s="2">
        <v>2019.7</v>
      </c>
      <c r="J108" s="2">
        <v>65.5</v>
      </c>
      <c r="K108" s="2" t="s">
        <v>26</v>
      </c>
      <c r="L108" s="2" t="s">
        <v>20</v>
      </c>
      <c r="M108" s="2" t="s">
        <v>36</v>
      </c>
      <c r="N108" s="2" t="s">
        <v>29</v>
      </c>
    </row>
    <row r="109" spans="1:14">
      <c r="A109" s="1" t="s">
        <v>54</v>
      </c>
      <c r="B109" s="2" t="s">
        <v>53</v>
      </c>
      <c r="C109" s="2" t="s">
        <v>49</v>
      </c>
      <c r="D109" s="2" t="s">
        <v>47</v>
      </c>
      <c r="E109" s="2" t="s">
        <v>25</v>
      </c>
      <c r="F109" s="2">
        <v>7</v>
      </c>
      <c r="G109" s="2">
        <v>178.61</v>
      </c>
      <c r="H109" s="2">
        <v>1250.27</v>
      </c>
      <c r="I109" s="2">
        <v>1201.27</v>
      </c>
      <c r="J109" s="2">
        <v>49</v>
      </c>
      <c r="K109" s="2" t="s">
        <v>34</v>
      </c>
      <c r="L109" s="2" t="s">
        <v>35</v>
      </c>
      <c r="M109" s="2" t="s">
        <v>40</v>
      </c>
      <c r="N109" s="2" t="s">
        <v>37</v>
      </c>
    </row>
    <row r="110" spans="1:14">
      <c r="A110" s="1" t="s">
        <v>115</v>
      </c>
      <c r="B110" s="2" t="s">
        <v>78</v>
      </c>
      <c r="C110" s="2" t="s">
        <v>66</v>
      </c>
      <c r="D110" s="2" t="s">
        <v>47</v>
      </c>
      <c r="E110" s="2" t="s">
        <v>18</v>
      </c>
      <c r="F110" s="2">
        <v>7</v>
      </c>
      <c r="G110" s="2">
        <v>161.06</v>
      </c>
      <c r="H110" s="2">
        <v>1127.42</v>
      </c>
      <c r="I110" s="2">
        <v>1087.42</v>
      </c>
      <c r="J110" s="2">
        <v>40</v>
      </c>
      <c r="K110" s="2" t="s">
        <v>19</v>
      </c>
      <c r="L110" s="2" t="s">
        <v>20</v>
      </c>
      <c r="M110" s="2" t="s">
        <v>21</v>
      </c>
      <c r="N110" s="2" t="s">
        <v>22</v>
      </c>
    </row>
    <row r="111" spans="1:14">
      <c r="A111" s="1">
        <v>45303</v>
      </c>
      <c r="B111" s="2" t="s">
        <v>50</v>
      </c>
      <c r="C111" s="2" t="s">
        <v>49</v>
      </c>
      <c r="D111" s="2" t="s">
        <v>24</v>
      </c>
      <c r="E111" s="2" t="s">
        <v>51</v>
      </c>
      <c r="F111" s="2">
        <v>4</v>
      </c>
      <c r="G111" s="2">
        <v>23.62</v>
      </c>
      <c r="H111" s="2">
        <v>94.48</v>
      </c>
      <c r="I111" s="2">
        <v>34.479999999999997</v>
      </c>
      <c r="J111" s="2">
        <v>60</v>
      </c>
      <c r="K111" s="2" t="s">
        <v>26</v>
      </c>
      <c r="L111" s="2" t="s">
        <v>27</v>
      </c>
      <c r="M111" s="2" t="s">
        <v>28</v>
      </c>
      <c r="N111" s="2" t="s">
        <v>29</v>
      </c>
    </row>
    <row r="112" spans="1:14">
      <c r="A112" s="1" t="s">
        <v>73</v>
      </c>
      <c r="B112" s="2" t="s">
        <v>43</v>
      </c>
      <c r="C112" s="2" t="s">
        <v>44</v>
      </c>
      <c r="D112" s="2" t="s">
        <v>17</v>
      </c>
      <c r="E112" s="2" t="s">
        <v>25</v>
      </c>
      <c r="F112" s="2">
        <v>1</v>
      </c>
      <c r="G112" s="2">
        <v>340.59</v>
      </c>
      <c r="H112" s="2">
        <v>340.59</v>
      </c>
      <c r="I112" s="2">
        <v>275.08999999999997</v>
      </c>
      <c r="J112" s="2">
        <v>65.5</v>
      </c>
      <c r="K112" s="2" t="s">
        <v>34</v>
      </c>
      <c r="L112" s="2" t="s">
        <v>35</v>
      </c>
      <c r="M112" s="2" t="s">
        <v>36</v>
      </c>
      <c r="N112" s="2" t="s">
        <v>37</v>
      </c>
    </row>
    <row r="113" spans="1:14">
      <c r="A113" s="1">
        <v>45477</v>
      </c>
      <c r="B113" s="2" t="s">
        <v>69</v>
      </c>
      <c r="C113" s="2" t="s">
        <v>44</v>
      </c>
      <c r="D113" s="2" t="s">
        <v>17</v>
      </c>
      <c r="E113" s="2" t="s">
        <v>18</v>
      </c>
      <c r="F113" s="2">
        <v>2</v>
      </c>
      <c r="G113" s="2">
        <v>362.31</v>
      </c>
      <c r="H113" s="2">
        <v>724.62</v>
      </c>
      <c r="I113" s="2">
        <v>675.62</v>
      </c>
      <c r="J113" s="2">
        <v>49</v>
      </c>
      <c r="K113" s="2" t="s">
        <v>19</v>
      </c>
      <c r="L113" s="2" t="s">
        <v>20</v>
      </c>
      <c r="M113" s="2" t="s">
        <v>40</v>
      </c>
      <c r="N113" s="2" t="s">
        <v>22</v>
      </c>
    </row>
    <row r="114" spans="1:14">
      <c r="A114" s="1" t="s">
        <v>116</v>
      </c>
      <c r="B114" s="2" t="s">
        <v>76</v>
      </c>
      <c r="C114" s="2" t="s">
        <v>49</v>
      </c>
      <c r="D114" s="2" t="s">
        <v>47</v>
      </c>
      <c r="E114" s="2" t="s">
        <v>33</v>
      </c>
      <c r="F114" s="2">
        <v>8</v>
      </c>
      <c r="G114" s="2">
        <v>418.71</v>
      </c>
      <c r="H114" s="2">
        <v>3349.68</v>
      </c>
      <c r="I114" s="2">
        <v>3309.68</v>
      </c>
      <c r="J114" s="2">
        <v>40</v>
      </c>
      <c r="K114" s="2" t="s">
        <v>26</v>
      </c>
      <c r="L114" s="2" t="s">
        <v>27</v>
      </c>
      <c r="M114" s="2" t="s">
        <v>21</v>
      </c>
      <c r="N114" s="2" t="s">
        <v>29</v>
      </c>
    </row>
    <row r="115" spans="1:14">
      <c r="A115" s="1" t="s">
        <v>117</v>
      </c>
      <c r="B115" s="2" t="s">
        <v>31</v>
      </c>
      <c r="C115" s="2" t="s">
        <v>32</v>
      </c>
      <c r="D115" s="2" t="s">
        <v>17</v>
      </c>
      <c r="E115" s="2" t="s">
        <v>51</v>
      </c>
      <c r="F115" s="2">
        <v>6</v>
      </c>
      <c r="G115" s="2">
        <v>111.13</v>
      </c>
      <c r="H115" s="2">
        <v>666.78</v>
      </c>
      <c r="I115" s="2">
        <v>606.78</v>
      </c>
      <c r="J115" s="2">
        <v>60</v>
      </c>
      <c r="K115" s="2" t="s">
        <v>34</v>
      </c>
      <c r="L115" s="2" t="s">
        <v>20</v>
      </c>
      <c r="M115" s="2" t="s">
        <v>28</v>
      </c>
      <c r="N115" s="2" t="s">
        <v>37</v>
      </c>
    </row>
    <row r="116" spans="1:14">
      <c r="A116" s="1">
        <v>45577</v>
      </c>
      <c r="B116" s="2" t="s">
        <v>76</v>
      </c>
      <c r="C116" s="2" t="s">
        <v>49</v>
      </c>
      <c r="D116" s="2" t="s">
        <v>47</v>
      </c>
      <c r="E116" s="2" t="s">
        <v>33</v>
      </c>
      <c r="F116" s="2">
        <v>9</v>
      </c>
      <c r="G116" s="2">
        <v>484.72</v>
      </c>
      <c r="H116" s="2">
        <v>4362.4799999999996</v>
      </c>
      <c r="I116" s="2">
        <v>4296.9799999999996</v>
      </c>
      <c r="J116" s="2">
        <v>65.5</v>
      </c>
      <c r="K116" s="2" t="s">
        <v>19</v>
      </c>
      <c r="L116" s="2" t="s">
        <v>20</v>
      </c>
      <c r="M116" s="2" t="s">
        <v>36</v>
      </c>
      <c r="N116" s="2" t="s">
        <v>22</v>
      </c>
    </row>
    <row r="117" spans="1:14">
      <c r="A117" s="1">
        <v>45546</v>
      </c>
      <c r="B117" s="2" t="s">
        <v>46</v>
      </c>
      <c r="C117" s="2" t="s">
        <v>32</v>
      </c>
      <c r="D117" s="2" t="s">
        <v>47</v>
      </c>
      <c r="E117" s="2" t="s">
        <v>25</v>
      </c>
      <c r="F117" s="2">
        <v>1</v>
      </c>
      <c r="G117" s="2">
        <v>67.53</v>
      </c>
      <c r="H117" s="2">
        <v>67.53</v>
      </c>
      <c r="I117" s="2">
        <v>18.53</v>
      </c>
      <c r="J117" s="2">
        <v>49</v>
      </c>
      <c r="K117" s="2" t="s">
        <v>26</v>
      </c>
      <c r="L117" s="2" t="s">
        <v>27</v>
      </c>
      <c r="M117" s="2" t="s">
        <v>40</v>
      </c>
      <c r="N117" s="2" t="s">
        <v>29</v>
      </c>
    </row>
    <row r="118" spans="1:14">
      <c r="A118" s="1" t="s">
        <v>116</v>
      </c>
      <c r="B118" s="2" t="s">
        <v>74</v>
      </c>
      <c r="C118" s="2" t="s">
        <v>44</v>
      </c>
      <c r="D118" s="2" t="s">
        <v>47</v>
      </c>
      <c r="E118" s="2" t="s">
        <v>25</v>
      </c>
      <c r="F118" s="2">
        <v>2</v>
      </c>
      <c r="G118" s="2">
        <v>368.03</v>
      </c>
      <c r="H118" s="2">
        <v>736.06</v>
      </c>
      <c r="I118" s="2">
        <v>696.06</v>
      </c>
      <c r="J118" s="2">
        <v>40</v>
      </c>
      <c r="K118" s="2" t="s">
        <v>34</v>
      </c>
      <c r="L118" s="2" t="s">
        <v>20</v>
      </c>
      <c r="M118" s="2" t="s">
        <v>21</v>
      </c>
      <c r="N118" s="2" t="s">
        <v>37</v>
      </c>
    </row>
    <row r="119" spans="1:14">
      <c r="A119" s="1" t="s">
        <v>118</v>
      </c>
      <c r="B119" s="2" t="s">
        <v>42</v>
      </c>
      <c r="C119" s="2" t="s">
        <v>16</v>
      </c>
      <c r="D119" s="2" t="s">
        <v>58</v>
      </c>
      <c r="E119" s="2" t="s">
        <v>25</v>
      </c>
      <c r="F119" s="2">
        <v>1</v>
      </c>
      <c r="G119" s="2">
        <v>372.87</v>
      </c>
      <c r="H119" s="2">
        <v>372.87</v>
      </c>
      <c r="I119" s="2">
        <v>312.87</v>
      </c>
      <c r="J119" s="2">
        <v>60</v>
      </c>
      <c r="K119" s="2" t="s">
        <v>19</v>
      </c>
      <c r="L119" s="2" t="s">
        <v>35</v>
      </c>
      <c r="M119" s="2" t="s">
        <v>28</v>
      </c>
      <c r="N119" s="2" t="s">
        <v>22</v>
      </c>
    </row>
    <row r="120" spans="1:14">
      <c r="A120" s="1">
        <v>45475</v>
      </c>
      <c r="B120" s="2" t="s">
        <v>15</v>
      </c>
      <c r="C120" s="2" t="s">
        <v>16</v>
      </c>
      <c r="D120" s="2" t="s">
        <v>47</v>
      </c>
      <c r="E120" s="2" t="s">
        <v>51</v>
      </c>
      <c r="F120" s="2">
        <v>10</v>
      </c>
      <c r="G120" s="2">
        <v>51.96</v>
      </c>
      <c r="H120" s="2">
        <v>519.6</v>
      </c>
      <c r="I120" s="2">
        <v>454.1</v>
      </c>
      <c r="J120" s="2">
        <v>65.5</v>
      </c>
      <c r="K120" s="2" t="s">
        <v>26</v>
      </c>
      <c r="L120" s="2" t="s">
        <v>27</v>
      </c>
      <c r="M120" s="2" t="s">
        <v>36</v>
      </c>
      <c r="N120" s="2" t="s">
        <v>29</v>
      </c>
    </row>
    <row r="121" spans="1:14">
      <c r="A121" s="1">
        <v>45449</v>
      </c>
      <c r="B121" s="2" t="s">
        <v>78</v>
      </c>
      <c r="C121" s="2" t="s">
        <v>66</v>
      </c>
      <c r="D121" s="2" t="s">
        <v>55</v>
      </c>
      <c r="E121" s="2" t="s">
        <v>25</v>
      </c>
      <c r="F121" s="2">
        <v>8</v>
      </c>
      <c r="G121" s="2">
        <v>434.36</v>
      </c>
      <c r="H121" s="2">
        <v>3474.88</v>
      </c>
      <c r="I121" s="2">
        <v>3425.88</v>
      </c>
      <c r="J121" s="2">
        <v>49</v>
      </c>
      <c r="K121" s="2" t="s">
        <v>34</v>
      </c>
      <c r="L121" s="2" t="s">
        <v>20</v>
      </c>
      <c r="M121" s="2" t="s">
        <v>40</v>
      </c>
      <c r="N121" s="2" t="s">
        <v>37</v>
      </c>
    </row>
    <row r="122" spans="1:14">
      <c r="A122" s="1">
        <v>45601</v>
      </c>
      <c r="B122" s="2" t="s">
        <v>81</v>
      </c>
      <c r="C122" s="2" t="s">
        <v>32</v>
      </c>
      <c r="D122" s="2" t="s">
        <v>24</v>
      </c>
      <c r="E122" s="2" t="s">
        <v>33</v>
      </c>
      <c r="F122" s="2">
        <v>3</v>
      </c>
      <c r="G122" s="2">
        <v>400.96</v>
      </c>
      <c r="H122" s="2">
        <v>1202.8800000000001</v>
      </c>
      <c r="I122" s="2">
        <v>1162.8800000000001</v>
      </c>
      <c r="J122" s="2">
        <v>40</v>
      </c>
      <c r="K122" s="2" t="s">
        <v>19</v>
      </c>
      <c r="L122" s="2" t="s">
        <v>27</v>
      </c>
      <c r="M122" s="2" t="s">
        <v>21</v>
      </c>
      <c r="N122" s="2" t="s">
        <v>22</v>
      </c>
    </row>
    <row r="123" spans="1:14">
      <c r="A123" s="1">
        <v>45477</v>
      </c>
      <c r="B123" s="2" t="s">
        <v>78</v>
      </c>
      <c r="C123" s="2" t="s">
        <v>66</v>
      </c>
      <c r="D123" s="2" t="s">
        <v>58</v>
      </c>
      <c r="E123" s="2" t="s">
        <v>25</v>
      </c>
      <c r="F123" s="2">
        <v>1</v>
      </c>
      <c r="G123" s="2">
        <v>55.02</v>
      </c>
      <c r="H123" s="2">
        <v>55.02</v>
      </c>
      <c r="I123" s="2">
        <v>-4.9800000000000004</v>
      </c>
      <c r="J123" s="2">
        <v>60</v>
      </c>
      <c r="K123" s="2" t="s">
        <v>26</v>
      </c>
      <c r="L123" s="2" t="s">
        <v>20</v>
      </c>
      <c r="M123" s="2" t="s">
        <v>28</v>
      </c>
      <c r="N123" s="2" t="s">
        <v>29</v>
      </c>
    </row>
    <row r="124" spans="1:14">
      <c r="A124" s="1" t="s">
        <v>119</v>
      </c>
      <c r="B124" s="2" t="s">
        <v>69</v>
      </c>
      <c r="C124" s="2" t="s">
        <v>44</v>
      </c>
      <c r="D124" s="2" t="s">
        <v>17</v>
      </c>
      <c r="E124" s="2" t="s">
        <v>33</v>
      </c>
      <c r="F124" s="2">
        <v>5</v>
      </c>
      <c r="G124" s="2">
        <v>187.23</v>
      </c>
      <c r="H124" s="2">
        <v>936.15</v>
      </c>
      <c r="I124" s="2">
        <v>870.65</v>
      </c>
      <c r="J124" s="2">
        <v>65.5</v>
      </c>
      <c r="K124" s="2" t="s">
        <v>34</v>
      </c>
      <c r="L124" s="2" t="s">
        <v>20</v>
      </c>
      <c r="M124" s="2" t="s">
        <v>36</v>
      </c>
      <c r="N124" s="2" t="s">
        <v>37</v>
      </c>
    </row>
    <row r="125" spans="1:14">
      <c r="A125" s="1" t="s">
        <v>120</v>
      </c>
      <c r="B125" s="2" t="s">
        <v>74</v>
      </c>
      <c r="C125" s="2" t="s">
        <v>44</v>
      </c>
      <c r="D125" s="2" t="s">
        <v>55</v>
      </c>
      <c r="E125" s="2" t="s">
        <v>25</v>
      </c>
      <c r="F125" s="2">
        <v>9</v>
      </c>
      <c r="G125" s="2">
        <v>202.72</v>
      </c>
      <c r="H125" s="2">
        <v>1824.48</v>
      </c>
      <c r="I125" s="2">
        <v>1775.48</v>
      </c>
      <c r="J125" s="2">
        <v>49</v>
      </c>
      <c r="K125" s="2" t="s">
        <v>19</v>
      </c>
      <c r="L125" s="2" t="s">
        <v>27</v>
      </c>
      <c r="M125" s="2" t="s">
        <v>40</v>
      </c>
      <c r="N125" s="2" t="s">
        <v>22</v>
      </c>
    </row>
    <row r="126" spans="1:14">
      <c r="A126" s="1">
        <v>45393</v>
      </c>
      <c r="B126" s="2" t="s">
        <v>74</v>
      </c>
      <c r="C126" s="2" t="s">
        <v>44</v>
      </c>
      <c r="D126" s="2" t="s">
        <v>17</v>
      </c>
      <c r="E126" s="2" t="s">
        <v>33</v>
      </c>
      <c r="F126" s="2">
        <v>3</v>
      </c>
      <c r="G126" s="2">
        <v>276.01</v>
      </c>
      <c r="H126" s="2">
        <v>828.03</v>
      </c>
      <c r="I126" s="2">
        <v>788.03</v>
      </c>
      <c r="J126" s="2">
        <v>40</v>
      </c>
      <c r="K126" s="2" t="s">
        <v>26</v>
      </c>
      <c r="L126" s="2" t="s">
        <v>35</v>
      </c>
      <c r="M126" s="2" t="s">
        <v>21</v>
      </c>
      <c r="N126" s="2" t="s">
        <v>29</v>
      </c>
    </row>
    <row r="127" spans="1:14">
      <c r="A127" s="1" t="s">
        <v>121</v>
      </c>
      <c r="B127" s="2" t="s">
        <v>50</v>
      </c>
      <c r="C127" s="2" t="s">
        <v>49</v>
      </c>
      <c r="D127" s="2" t="s">
        <v>58</v>
      </c>
      <c r="E127" s="2" t="s">
        <v>25</v>
      </c>
      <c r="F127" s="2">
        <v>10</v>
      </c>
      <c r="G127" s="2">
        <v>281.43</v>
      </c>
      <c r="H127" s="2">
        <v>2814.3</v>
      </c>
      <c r="I127" s="2">
        <v>2754.3</v>
      </c>
      <c r="J127" s="2">
        <v>60</v>
      </c>
      <c r="K127" s="2" t="s">
        <v>34</v>
      </c>
      <c r="L127" s="2" t="s">
        <v>20</v>
      </c>
      <c r="M127" s="2" t="s">
        <v>28</v>
      </c>
      <c r="N127" s="2" t="s">
        <v>37</v>
      </c>
    </row>
    <row r="128" spans="1:14">
      <c r="A128" s="1">
        <v>45573</v>
      </c>
      <c r="B128" s="2" t="s">
        <v>78</v>
      </c>
      <c r="C128" s="2" t="s">
        <v>66</v>
      </c>
      <c r="D128" s="2" t="s">
        <v>55</v>
      </c>
      <c r="E128" s="2" t="s">
        <v>33</v>
      </c>
      <c r="F128" s="2">
        <v>7</v>
      </c>
      <c r="G128" s="2">
        <v>483.02</v>
      </c>
      <c r="H128" s="2">
        <v>3381.14</v>
      </c>
      <c r="I128" s="2">
        <v>3315.64</v>
      </c>
      <c r="J128" s="2">
        <v>65.5</v>
      </c>
      <c r="K128" s="2" t="s">
        <v>19</v>
      </c>
      <c r="L128" s="2" t="s">
        <v>27</v>
      </c>
      <c r="M128" s="2" t="s">
        <v>36</v>
      </c>
      <c r="N128" s="2" t="s">
        <v>22</v>
      </c>
    </row>
    <row r="129" spans="1:14">
      <c r="A129" s="1" t="s">
        <v>122</v>
      </c>
      <c r="B129" s="2" t="s">
        <v>76</v>
      </c>
      <c r="C129" s="2" t="s">
        <v>49</v>
      </c>
      <c r="D129" s="2" t="s">
        <v>55</v>
      </c>
      <c r="E129" s="2" t="s">
        <v>18</v>
      </c>
      <c r="F129" s="2">
        <v>10</v>
      </c>
      <c r="G129" s="2">
        <v>84.68</v>
      </c>
      <c r="H129" s="2">
        <v>846.8</v>
      </c>
      <c r="I129" s="2">
        <v>797.8</v>
      </c>
      <c r="J129" s="2">
        <v>49</v>
      </c>
      <c r="K129" s="2" t="s">
        <v>26</v>
      </c>
      <c r="L129" s="2" t="s">
        <v>20</v>
      </c>
      <c r="M129" s="2" t="s">
        <v>40</v>
      </c>
      <c r="N129" s="2" t="s">
        <v>29</v>
      </c>
    </row>
    <row r="130" spans="1:14">
      <c r="A130" s="1" t="s">
        <v>123</v>
      </c>
      <c r="B130" s="2" t="s">
        <v>43</v>
      </c>
      <c r="C130" s="2" t="s">
        <v>44</v>
      </c>
      <c r="D130" s="2" t="s">
        <v>17</v>
      </c>
      <c r="E130" s="2" t="s">
        <v>51</v>
      </c>
      <c r="F130" s="2">
        <v>3</v>
      </c>
      <c r="G130" s="2">
        <v>306.7</v>
      </c>
      <c r="H130" s="2">
        <v>920.1</v>
      </c>
      <c r="I130" s="2">
        <v>880.1</v>
      </c>
      <c r="J130" s="2">
        <v>40</v>
      </c>
      <c r="K130" s="2" t="s">
        <v>34</v>
      </c>
      <c r="L130" s="2" t="s">
        <v>20</v>
      </c>
      <c r="M130" s="2" t="s">
        <v>21</v>
      </c>
      <c r="N130" s="2" t="s">
        <v>37</v>
      </c>
    </row>
    <row r="131" spans="1:14">
      <c r="A131" s="1">
        <v>45541</v>
      </c>
      <c r="B131" s="2" t="s">
        <v>43</v>
      </c>
      <c r="C131" s="2" t="s">
        <v>44</v>
      </c>
      <c r="D131" s="2" t="s">
        <v>55</v>
      </c>
      <c r="E131" s="2" t="s">
        <v>33</v>
      </c>
      <c r="F131" s="2">
        <v>2</v>
      </c>
      <c r="G131" s="2">
        <v>68.94</v>
      </c>
      <c r="H131" s="2">
        <v>137.88</v>
      </c>
      <c r="I131" s="2">
        <v>77.88</v>
      </c>
      <c r="J131" s="2">
        <v>60</v>
      </c>
      <c r="K131" s="2" t="s">
        <v>19</v>
      </c>
      <c r="L131" s="2" t="s">
        <v>35</v>
      </c>
      <c r="M131" s="2" t="s">
        <v>28</v>
      </c>
      <c r="N131" s="2" t="s">
        <v>22</v>
      </c>
    </row>
    <row r="132" spans="1:14">
      <c r="A132" s="1" t="s">
        <v>124</v>
      </c>
      <c r="B132" s="2" t="s">
        <v>60</v>
      </c>
      <c r="C132" s="2" t="s">
        <v>44</v>
      </c>
      <c r="D132" s="2" t="s">
        <v>17</v>
      </c>
      <c r="E132" s="2" t="s">
        <v>51</v>
      </c>
      <c r="F132" s="2">
        <v>7</v>
      </c>
      <c r="G132" s="2">
        <v>483.1</v>
      </c>
      <c r="H132" s="2">
        <v>3381.7</v>
      </c>
      <c r="I132" s="2">
        <v>3316.2</v>
      </c>
      <c r="J132" s="2">
        <v>65.5</v>
      </c>
      <c r="K132" s="2" t="s">
        <v>26</v>
      </c>
      <c r="L132" s="2" t="s">
        <v>20</v>
      </c>
      <c r="M132" s="2" t="s">
        <v>36</v>
      </c>
      <c r="N132" s="2" t="s">
        <v>29</v>
      </c>
    </row>
    <row r="133" spans="1:14">
      <c r="A133" s="1" t="s">
        <v>125</v>
      </c>
      <c r="B133" s="2" t="s">
        <v>78</v>
      </c>
      <c r="C133" s="2" t="s">
        <v>66</v>
      </c>
      <c r="D133" s="2" t="s">
        <v>55</v>
      </c>
      <c r="E133" s="2" t="s">
        <v>25</v>
      </c>
      <c r="F133" s="2">
        <v>2</v>
      </c>
      <c r="G133" s="2">
        <v>439.62</v>
      </c>
      <c r="H133" s="2">
        <v>879.24</v>
      </c>
      <c r="I133" s="2">
        <v>830.24</v>
      </c>
      <c r="J133" s="2">
        <v>49</v>
      </c>
      <c r="K133" s="2" t="s">
        <v>34</v>
      </c>
      <c r="L133" s="2" t="s">
        <v>27</v>
      </c>
      <c r="M133" s="2" t="s">
        <v>40</v>
      </c>
      <c r="N133" s="2" t="s">
        <v>37</v>
      </c>
    </row>
    <row r="134" spans="1:14">
      <c r="A134" s="1" t="s">
        <v>93</v>
      </c>
      <c r="B134" s="2" t="s">
        <v>76</v>
      </c>
      <c r="C134" s="2" t="s">
        <v>49</v>
      </c>
      <c r="D134" s="2" t="s">
        <v>58</v>
      </c>
      <c r="E134" s="2" t="s">
        <v>51</v>
      </c>
      <c r="F134" s="2">
        <v>9</v>
      </c>
      <c r="G134" s="2">
        <v>153.18</v>
      </c>
      <c r="H134" s="2">
        <v>1378.62</v>
      </c>
      <c r="I134" s="2">
        <v>1338.62</v>
      </c>
      <c r="J134" s="2">
        <v>40</v>
      </c>
      <c r="K134" s="2" t="s">
        <v>19</v>
      </c>
      <c r="L134" s="2" t="s">
        <v>20</v>
      </c>
      <c r="M134" s="2" t="s">
        <v>21</v>
      </c>
      <c r="N134" s="2" t="s">
        <v>22</v>
      </c>
    </row>
    <row r="135" spans="1:14">
      <c r="A135" s="1" t="s">
        <v>123</v>
      </c>
      <c r="B135" s="2" t="s">
        <v>50</v>
      </c>
      <c r="C135" s="2" t="s">
        <v>49</v>
      </c>
      <c r="D135" s="2" t="s">
        <v>55</v>
      </c>
      <c r="E135" s="2" t="s">
        <v>18</v>
      </c>
      <c r="F135" s="2">
        <v>5</v>
      </c>
      <c r="G135" s="2">
        <v>51.53</v>
      </c>
      <c r="H135" s="2">
        <v>257.64999999999998</v>
      </c>
      <c r="I135" s="2">
        <v>197.65</v>
      </c>
      <c r="J135" s="2">
        <v>60</v>
      </c>
      <c r="K135" s="2" t="s">
        <v>26</v>
      </c>
      <c r="L135" s="2" t="s">
        <v>20</v>
      </c>
      <c r="M135" s="2" t="s">
        <v>28</v>
      </c>
      <c r="N135" s="2" t="s">
        <v>29</v>
      </c>
    </row>
    <row r="136" spans="1:14">
      <c r="A136" s="1">
        <v>45572</v>
      </c>
      <c r="B136" s="2" t="s">
        <v>46</v>
      </c>
      <c r="C136" s="2" t="s">
        <v>32</v>
      </c>
      <c r="D136" s="2" t="s">
        <v>47</v>
      </c>
      <c r="E136" s="2" t="s">
        <v>51</v>
      </c>
      <c r="F136" s="2">
        <v>4</v>
      </c>
      <c r="G136" s="2">
        <v>231.62</v>
      </c>
      <c r="H136" s="2">
        <v>926.48</v>
      </c>
      <c r="I136" s="2">
        <v>860.98</v>
      </c>
      <c r="J136" s="2">
        <v>65.5</v>
      </c>
      <c r="K136" s="2" t="s">
        <v>34</v>
      </c>
      <c r="L136" s="2" t="s">
        <v>27</v>
      </c>
      <c r="M136" s="2" t="s">
        <v>36</v>
      </c>
      <c r="N136" s="2" t="s">
        <v>37</v>
      </c>
    </row>
    <row r="137" spans="1:14">
      <c r="A137" s="1" t="s">
        <v>114</v>
      </c>
      <c r="B137" s="2" t="s">
        <v>53</v>
      </c>
      <c r="C137" s="2" t="s">
        <v>49</v>
      </c>
      <c r="D137" s="2" t="s">
        <v>55</v>
      </c>
      <c r="E137" s="2" t="s">
        <v>33</v>
      </c>
      <c r="F137" s="2">
        <v>5</v>
      </c>
      <c r="G137" s="2">
        <v>303.83999999999997</v>
      </c>
      <c r="H137" s="2">
        <v>1519.2</v>
      </c>
      <c r="I137" s="2">
        <v>1470.2</v>
      </c>
      <c r="J137" s="2">
        <v>49</v>
      </c>
      <c r="K137" s="2" t="s">
        <v>19</v>
      </c>
      <c r="L137" s="2" t="s">
        <v>35</v>
      </c>
      <c r="M137" s="2" t="s">
        <v>40</v>
      </c>
      <c r="N137" s="2" t="s">
        <v>22</v>
      </c>
    </row>
    <row r="138" spans="1:14">
      <c r="A138" s="1" t="s">
        <v>14</v>
      </c>
      <c r="B138" s="2" t="s">
        <v>53</v>
      </c>
      <c r="C138" s="2" t="s">
        <v>49</v>
      </c>
      <c r="D138" s="2" t="s">
        <v>58</v>
      </c>
      <c r="E138" s="2" t="s">
        <v>51</v>
      </c>
      <c r="F138" s="2">
        <v>9</v>
      </c>
      <c r="G138" s="2">
        <v>374.31</v>
      </c>
      <c r="H138" s="2">
        <v>3368.79</v>
      </c>
      <c r="I138" s="2">
        <v>3328.79</v>
      </c>
      <c r="J138" s="2">
        <v>40</v>
      </c>
      <c r="K138" s="2" t="s">
        <v>26</v>
      </c>
      <c r="L138" s="2" t="s">
        <v>20</v>
      </c>
      <c r="M138" s="2" t="s">
        <v>21</v>
      </c>
      <c r="N138" s="2" t="s">
        <v>29</v>
      </c>
    </row>
    <row r="139" spans="1:14">
      <c r="A139" s="1" t="s">
        <v>126</v>
      </c>
      <c r="B139" s="2" t="s">
        <v>43</v>
      </c>
      <c r="C139" s="2" t="s">
        <v>44</v>
      </c>
      <c r="D139" s="2" t="s">
        <v>58</v>
      </c>
      <c r="E139" s="2" t="s">
        <v>25</v>
      </c>
      <c r="F139" s="2">
        <v>5</v>
      </c>
      <c r="G139" s="2">
        <v>158.87</v>
      </c>
      <c r="H139" s="2">
        <v>794.35</v>
      </c>
      <c r="I139" s="2">
        <v>734.35</v>
      </c>
      <c r="J139" s="2">
        <v>60</v>
      </c>
      <c r="K139" s="2" t="s">
        <v>34</v>
      </c>
      <c r="L139" s="2" t="s">
        <v>20</v>
      </c>
      <c r="M139" s="2" t="s">
        <v>28</v>
      </c>
      <c r="N139" s="2" t="s">
        <v>37</v>
      </c>
    </row>
    <row r="140" spans="1:14">
      <c r="A140" s="1">
        <v>45544</v>
      </c>
      <c r="B140" s="2" t="s">
        <v>89</v>
      </c>
      <c r="C140" s="2" t="s">
        <v>32</v>
      </c>
      <c r="D140" s="2" t="s">
        <v>58</v>
      </c>
      <c r="E140" s="2" t="s">
        <v>51</v>
      </c>
      <c r="F140" s="2">
        <v>3</v>
      </c>
      <c r="G140" s="2">
        <v>174.34</v>
      </c>
      <c r="H140" s="2">
        <v>523.02</v>
      </c>
      <c r="I140" s="2">
        <v>457.52</v>
      </c>
      <c r="J140" s="2">
        <v>65.5</v>
      </c>
      <c r="K140" s="2" t="s">
        <v>19</v>
      </c>
      <c r="L140" s="2" t="s">
        <v>20</v>
      </c>
      <c r="M140" s="2" t="s">
        <v>36</v>
      </c>
      <c r="N140" s="2" t="s">
        <v>22</v>
      </c>
    </row>
    <row r="141" spans="1:14">
      <c r="A141" s="1" t="s">
        <v>127</v>
      </c>
      <c r="B141" s="2" t="s">
        <v>81</v>
      </c>
      <c r="C141" s="2" t="s">
        <v>32</v>
      </c>
      <c r="D141" s="2" t="s">
        <v>24</v>
      </c>
      <c r="E141" s="2" t="s">
        <v>51</v>
      </c>
      <c r="F141" s="2">
        <v>6</v>
      </c>
      <c r="G141" s="2">
        <v>237.96</v>
      </c>
      <c r="H141" s="2">
        <v>1427.76</v>
      </c>
      <c r="I141" s="2">
        <v>1378.76</v>
      </c>
      <c r="J141" s="2">
        <v>49</v>
      </c>
      <c r="K141" s="2" t="s">
        <v>26</v>
      </c>
      <c r="L141" s="2" t="s">
        <v>27</v>
      </c>
      <c r="M141" s="2" t="s">
        <v>40</v>
      </c>
      <c r="N141" s="2" t="s">
        <v>29</v>
      </c>
    </row>
    <row r="142" spans="1:14">
      <c r="A142" s="1" t="s">
        <v>64</v>
      </c>
      <c r="B142" s="2" t="s">
        <v>46</v>
      </c>
      <c r="C142" s="2" t="s">
        <v>32</v>
      </c>
      <c r="D142" s="2" t="s">
        <v>17</v>
      </c>
      <c r="E142" s="2" t="s">
        <v>18</v>
      </c>
      <c r="F142" s="2">
        <v>1</v>
      </c>
      <c r="G142" s="2">
        <v>347.92</v>
      </c>
      <c r="H142" s="2">
        <v>347.92</v>
      </c>
      <c r="I142" s="2">
        <v>307.92</v>
      </c>
      <c r="J142" s="2">
        <v>40</v>
      </c>
      <c r="K142" s="2" t="s">
        <v>34</v>
      </c>
      <c r="L142" s="2" t="s">
        <v>35</v>
      </c>
      <c r="M142" s="2" t="s">
        <v>21</v>
      </c>
      <c r="N142" s="2" t="s">
        <v>37</v>
      </c>
    </row>
    <row r="143" spans="1:14">
      <c r="A143" s="1" t="s">
        <v>128</v>
      </c>
      <c r="B143" s="2" t="s">
        <v>69</v>
      </c>
      <c r="C143" s="2" t="s">
        <v>44</v>
      </c>
      <c r="D143" s="2" t="s">
        <v>17</v>
      </c>
      <c r="E143" s="2" t="s">
        <v>51</v>
      </c>
      <c r="F143" s="2">
        <v>9</v>
      </c>
      <c r="G143" s="2">
        <v>227.15</v>
      </c>
      <c r="H143" s="2">
        <v>2044.35</v>
      </c>
      <c r="I143" s="2">
        <v>1984.35</v>
      </c>
      <c r="J143" s="2">
        <v>60</v>
      </c>
      <c r="K143" s="2" t="s">
        <v>19</v>
      </c>
      <c r="L143" s="2" t="s">
        <v>20</v>
      </c>
      <c r="M143" s="2" t="s">
        <v>28</v>
      </c>
      <c r="N143" s="2" t="s">
        <v>22</v>
      </c>
    </row>
    <row r="144" spans="1:14">
      <c r="A144" s="1" t="s">
        <v>105</v>
      </c>
      <c r="B144" s="2" t="s">
        <v>76</v>
      </c>
      <c r="C144" s="2" t="s">
        <v>49</v>
      </c>
      <c r="D144" s="2" t="s">
        <v>24</v>
      </c>
      <c r="E144" s="2" t="s">
        <v>33</v>
      </c>
      <c r="F144" s="2">
        <v>7</v>
      </c>
      <c r="G144" s="2">
        <v>459.54</v>
      </c>
      <c r="H144" s="2">
        <v>3216.78</v>
      </c>
      <c r="I144" s="2">
        <v>3151.28</v>
      </c>
      <c r="J144" s="2">
        <v>65.5</v>
      </c>
      <c r="K144" s="2" t="s">
        <v>26</v>
      </c>
      <c r="L144" s="2" t="s">
        <v>20</v>
      </c>
      <c r="M144" s="2" t="s">
        <v>36</v>
      </c>
      <c r="N144" s="2" t="s">
        <v>29</v>
      </c>
    </row>
    <row r="145" spans="1:14">
      <c r="A145" s="1" t="s">
        <v>129</v>
      </c>
      <c r="B145" s="2" t="s">
        <v>78</v>
      </c>
      <c r="C145" s="2" t="s">
        <v>66</v>
      </c>
      <c r="D145" s="2" t="s">
        <v>47</v>
      </c>
      <c r="E145" s="2" t="s">
        <v>25</v>
      </c>
      <c r="F145" s="2">
        <v>8</v>
      </c>
      <c r="G145" s="2">
        <v>103.76</v>
      </c>
      <c r="H145" s="2">
        <v>830.08</v>
      </c>
      <c r="I145" s="2">
        <v>781.08</v>
      </c>
      <c r="J145" s="2">
        <v>49</v>
      </c>
      <c r="K145" s="2" t="s">
        <v>34</v>
      </c>
      <c r="L145" s="2" t="s">
        <v>27</v>
      </c>
      <c r="M145" s="2" t="s">
        <v>40</v>
      </c>
      <c r="N145" s="2" t="s">
        <v>37</v>
      </c>
    </row>
    <row r="146" spans="1:14">
      <c r="A146" s="1" t="s">
        <v>130</v>
      </c>
      <c r="B146" s="2" t="s">
        <v>42</v>
      </c>
      <c r="C146" s="2" t="s">
        <v>16</v>
      </c>
      <c r="D146" s="2" t="s">
        <v>24</v>
      </c>
      <c r="E146" s="2" t="s">
        <v>33</v>
      </c>
      <c r="F146" s="2">
        <v>4</v>
      </c>
      <c r="G146" s="2">
        <v>162.47999999999999</v>
      </c>
      <c r="H146" s="2">
        <v>649.91999999999996</v>
      </c>
      <c r="I146" s="2">
        <v>609.91999999999996</v>
      </c>
      <c r="J146" s="2">
        <v>40</v>
      </c>
      <c r="K146" s="2" t="s">
        <v>19</v>
      </c>
      <c r="L146" s="2" t="s">
        <v>20</v>
      </c>
      <c r="M146" s="2" t="s">
        <v>21</v>
      </c>
      <c r="N146" s="2" t="s">
        <v>22</v>
      </c>
    </row>
    <row r="147" spans="1:14">
      <c r="A147" s="1">
        <v>45628</v>
      </c>
      <c r="B147" s="2" t="s">
        <v>53</v>
      </c>
      <c r="C147" s="2" t="s">
        <v>49</v>
      </c>
      <c r="D147" s="2" t="s">
        <v>17</v>
      </c>
      <c r="E147" s="2" t="s">
        <v>25</v>
      </c>
      <c r="F147" s="2">
        <v>10</v>
      </c>
      <c r="G147" s="2">
        <v>276.17</v>
      </c>
      <c r="H147" s="2">
        <v>2761.7</v>
      </c>
      <c r="I147" s="2">
        <v>2701.7</v>
      </c>
      <c r="J147" s="2">
        <v>60</v>
      </c>
      <c r="K147" s="2" t="s">
        <v>26</v>
      </c>
      <c r="L147" s="2" t="s">
        <v>35</v>
      </c>
      <c r="M147" s="2" t="s">
        <v>28</v>
      </c>
      <c r="N147" s="2" t="s">
        <v>29</v>
      </c>
    </row>
    <row r="148" spans="1:14">
      <c r="A148" s="1">
        <v>45415</v>
      </c>
      <c r="B148" s="2" t="s">
        <v>110</v>
      </c>
      <c r="C148" s="2" t="s">
        <v>66</v>
      </c>
      <c r="D148" s="2" t="s">
        <v>24</v>
      </c>
      <c r="E148" s="2" t="s">
        <v>18</v>
      </c>
      <c r="F148" s="2">
        <v>1</v>
      </c>
      <c r="G148" s="2">
        <v>154.79</v>
      </c>
      <c r="H148" s="2">
        <v>154.79</v>
      </c>
      <c r="I148" s="2">
        <v>89.29</v>
      </c>
      <c r="J148" s="2">
        <v>65.5</v>
      </c>
      <c r="K148" s="2" t="s">
        <v>34</v>
      </c>
      <c r="L148" s="2" t="s">
        <v>20</v>
      </c>
      <c r="M148" s="2" t="s">
        <v>36</v>
      </c>
      <c r="N148" s="2" t="s">
        <v>37</v>
      </c>
    </row>
    <row r="149" spans="1:14">
      <c r="A149" s="1" t="s">
        <v>131</v>
      </c>
      <c r="B149" s="2" t="s">
        <v>15</v>
      </c>
      <c r="C149" s="2" t="s">
        <v>16</v>
      </c>
      <c r="D149" s="2" t="s">
        <v>17</v>
      </c>
      <c r="E149" s="2" t="s">
        <v>51</v>
      </c>
      <c r="F149" s="2">
        <v>6</v>
      </c>
      <c r="G149" s="2">
        <v>482.61</v>
      </c>
      <c r="H149" s="2">
        <v>2895.66</v>
      </c>
      <c r="I149" s="2">
        <v>2846.66</v>
      </c>
      <c r="J149" s="2">
        <v>49</v>
      </c>
      <c r="K149" s="2" t="s">
        <v>19</v>
      </c>
      <c r="L149" s="2" t="s">
        <v>27</v>
      </c>
      <c r="M149" s="2" t="s">
        <v>40</v>
      </c>
      <c r="N149" s="2" t="s">
        <v>22</v>
      </c>
    </row>
    <row r="150" spans="1:14">
      <c r="A150" s="1" t="s">
        <v>132</v>
      </c>
      <c r="B150" s="2" t="s">
        <v>89</v>
      </c>
      <c r="C150" s="2" t="s">
        <v>32</v>
      </c>
      <c r="D150" s="2" t="s">
        <v>47</v>
      </c>
      <c r="E150" s="2" t="s">
        <v>51</v>
      </c>
      <c r="F150" s="2">
        <v>1</v>
      </c>
      <c r="G150" s="2">
        <v>96.33</v>
      </c>
      <c r="H150" s="2">
        <v>96.33</v>
      </c>
      <c r="I150" s="2">
        <v>56.33</v>
      </c>
      <c r="J150" s="2">
        <v>40</v>
      </c>
      <c r="K150" s="2" t="s">
        <v>26</v>
      </c>
      <c r="L150" s="2" t="s">
        <v>35</v>
      </c>
      <c r="M150" s="2" t="s">
        <v>21</v>
      </c>
      <c r="N150" s="2" t="s">
        <v>29</v>
      </c>
    </row>
    <row r="151" spans="1:14">
      <c r="A151" s="1">
        <v>45515</v>
      </c>
      <c r="B151" s="2" t="s">
        <v>110</v>
      </c>
      <c r="C151" s="2" t="s">
        <v>66</v>
      </c>
      <c r="D151" s="2" t="s">
        <v>24</v>
      </c>
      <c r="E151" s="2" t="s">
        <v>51</v>
      </c>
      <c r="F151" s="2">
        <v>6</v>
      </c>
      <c r="G151" s="2">
        <v>465.34</v>
      </c>
      <c r="H151" s="2">
        <v>2792.04</v>
      </c>
      <c r="I151" s="2">
        <v>2732.04</v>
      </c>
      <c r="J151" s="2">
        <v>60</v>
      </c>
      <c r="K151" s="2" t="s">
        <v>34</v>
      </c>
      <c r="L151" s="2" t="s">
        <v>20</v>
      </c>
      <c r="M151" s="2" t="s">
        <v>28</v>
      </c>
      <c r="N151" s="2"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16"/>
  <sheetViews>
    <sheetView workbookViewId="0">
      <selection activeCell="F7" sqref="F7"/>
    </sheetView>
  </sheetViews>
  <sheetFormatPr defaultRowHeight="15"/>
  <cols>
    <col min="1" max="1" width="13.140625" bestFit="1" customWidth="1"/>
    <col min="2" max="2" width="12.5703125" bestFit="1" customWidth="1"/>
    <col min="3" max="3" width="4.85546875" customWidth="1"/>
    <col min="4" max="4" width="4.42578125" customWidth="1"/>
    <col min="5" max="5" width="13.140625" bestFit="1" customWidth="1"/>
    <col min="6" max="6" width="18.85546875" bestFit="1" customWidth="1"/>
    <col min="7" max="7" width="3.28515625" customWidth="1"/>
    <col min="8" max="8" width="13.140625" customWidth="1"/>
    <col min="9" max="9" width="15.7109375" bestFit="1" customWidth="1"/>
    <col min="10" max="10" width="3" customWidth="1"/>
    <col min="11" max="11" width="13.7109375" customWidth="1"/>
    <col min="12" max="12" width="16.28515625" bestFit="1" customWidth="1"/>
    <col min="13" max="13" width="3.5703125" customWidth="1"/>
    <col min="14" max="14" width="13.140625" customWidth="1"/>
    <col min="15" max="15" width="16.5703125" bestFit="1" customWidth="1"/>
    <col min="16" max="16" width="3.5703125" customWidth="1"/>
    <col min="17" max="17" width="13.140625" customWidth="1"/>
    <col min="18" max="18" width="12.5703125" bestFit="1" customWidth="1"/>
    <col min="19" max="19" width="3.7109375" customWidth="1"/>
    <col min="20" max="20" width="13.140625" customWidth="1"/>
    <col min="21" max="21" width="16.140625" bestFit="1" customWidth="1"/>
    <col min="22" max="22" width="20.85546875" bestFit="1" customWidth="1"/>
  </cols>
  <sheetData>
    <row r="2" spans="1:22" ht="21" customHeight="1">
      <c r="A2" s="13" t="s">
        <v>136</v>
      </c>
      <c r="B2" s="13"/>
      <c r="D2" s="9">
        <f ca="1">NOW()</f>
        <v>46106.684930902775</v>
      </c>
      <c r="E2" s="13" t="s">
        <v>138</v>
      </c>
      <c r="F2" s="13"/>
      <c r="H2" s="13" t="s">
        <v>137</v>
      </c>
      <c r="I2" s="13"/>
      <c r="K2" s="13" t="s">
        <v>140</v>
      </c>
      <c r="L2" s="13"/>
      <c r="N2" s="13" t="s">
        <v>141</v>
      </c>
      <c r="O2" s="13"/>
      <c r="Q2" s="13" t="s">
        <v>142</v>
      </c>
      <c r="R2" s="13"/>
      <c r="T2" s="13" t="s">
        <v>136</v>
      </c>
      <c r="U2" s="13"/>
      <c r="V2" s="14"/>
    </row>
    <row r="3" spans="1:22">
      <c r="A3" s="5" t="s">
        <v>133</v>
      </c>
      <c r="B3" t="s">
        <v>135</v>
      </c>
      <c r="E3" s="5" t="s">
        <v>133</v>
      </c>
      <c r="F3" t="s">
        <v>138</v>
      </c>
      <c r="H3" s="5" t="s">
        <v>133</v>
      </c>
      <c r="I3" t="s">
        <v>137</v>
      </c>
      <c r="K3" s="5" t="s">
        <v>133</v>
      </c>
      <c r="L3" t="s">
        <v>139</v>
      </c>
      <c r="N3" s="5" t="s">
        <v>133</v>
      </c>
      <c r="O3" t="s">
        <v>141</v>
      </c>
      <c r="Q3" s="5" t="s">
        <v>133</v>
      </c>
      <c r="R3" t="s">
        <v>142</v>
      </c>
      <c r="T3" s="5" t="s">
        <v>133</v>
      </c>
      <c r="U3" t="s">
        <v>136</v>
      </c>
      <c r="V3" t="s">
        <v>144</v>
      </c>
    </row>
    <row r="4" spans="1:22">
      <c r="A4" s="6" t="s">
        <v>25</v>
      </c>
      <c r="B4" s="10">
        <v>2101</v>
      </c>
      <c r="E4" s="6" t="s">
        <v>32</v>
      </c>
      <c r="F4" s="10">
        <v>27014.35</v>
      </c>
      <c r="H4" s="6" t="s">
        <v>18</v>
      </c>
      <c r="I4" s="10">
        <v>31182.520000000004</v>
      </c>
      <c r="K4" s="6" t="s">
        <v>21</v>
      </c>
      <c r="L4" s="10">
        <v>48098.529999999992</v>
      </c>
      <c r="N4" s="6" t="s">
        <v>66</v>
      </c>
      <c r="O4" s="10">
        <v>29182.060000000009</v>
      </c>
      <c r="Q4" s="6" t="s">
        <v>55</v>
      </c>
      <c r="R4" s="10">
        <v>55711.05999999999</v>
      </c>
      <c r="T4" s="6" t="s">
        <v>35</v>
      </c>
      <c r="U4" s="10">
        <v>192</v>
      </c>
      <c r="V4" s="10">
        <v>192</v>
      </c>
    </row>
    <row r="5" spans="1:22">
      <c r="A5" s="6" t="s">
        <v>51</v>
      </c>
      <c r="B5" s="10">
        <v>2145</v>
      </c>
      <c r="E5" s="6" t="s">
        <v>66</v>
      </c>
      <c r="F5" s="10">
        <v>29182.060000000009</v>
      </c>
      <c r="H5" s="6" t="s">
        <v>51</v>
      </c>
      <c r="I5" s="10">
        <v>50329.01</v>
      </c>
      <c r="K5" s="6" t="s">
        <v>36</v>
      </c>
      <c r="L5" s="10">
        <v>43679.88</v>
      </c>
      <c r="N5" s="6" t="s">
        <v>32</v>
      </c>
      <c r="O5" s="10">
        <v>27014.35</v>
      </c>
      <c r="Q5" s="6" t="s">
        <v>47</v>
      </c>
      <c r="R5" s="10">
        <v>45222.759999999995</v>
      </c>
      <c r="T5" s="6" t="s">
        <v>20</v>
      </c>
      <c r="U5" s="10">
        <v>373</v>
      </c>
      <c r="V5" s="10">
        <v>373</v>
      </c>
    </row>
    <row r="6" spans="1:22">
      <c r="A6" s="6" t="s">
        <v>33</v>
      </c>
      <c r="B6" s="10">
        <v>2167</v>
      </c>
      <c r="E6" s="6" t="s">
        <v>44</v>
      </c>
      <c r="F6" s="10">
        <v>39309.78</v>
      </c>
      <c r="H6" s="6" t="s">
        <v>25</v>
      </c>
      <c r="I6" s="10">
        <v>60100.989999999983</v>
      </c>
      <c r="K6" s="6" t="s">
        <v>40</v>
      </c>
      <c r="L6" s="10">
        <v>52442.060000000012</v>
      </c>
      <c r="N6" s="6" t="s">
        <v>44</v>
      </c>
      <c r="O6" s="10">
        <v>39309.78</v>
      </c>
      <c r="Q6" s="6" t="s">
        <v>24</v>
      </c>
      <c r="R6" s="10">
        <v>39607.439999999995</v>
      </c>
      <c r="T6" s="6" t="s">
        <v>27</v>
      </c>
      <c r="U6" s="10">
        <v>235</v>
      </c>
      <c r="V6" s="10">
        <v>235</v>
      </c>
    </row>
    <row r="7" spans="1:22">
      <c r="A7" s="6" t="s">
        <v>18</v>
      </c>
      <c r="B7" s="10">
        <v>1623.5</v>
      </c>
      <c r="E7" s="6" t="s">
        <v>16</v>
      </c>
      <c r="F7" s="10">
        <v>51359.740000000005</v>
      </c>
      <c r="H7" s="6" t="s">
        <v>33</v>
      </c>
      <c r="I7" s="10">
        <v>67158.789999999994</v>
      </c>
      <c r="K7" s="6" t="s">
        <v>28</v>
      </c>
      <c r="L7" s="10">
        <v>64550.840000000004</v>
      </c>
      <c r="N7" s="6" t="s">
        <v>16</v>
      </c>
      <c r="O7" s="10">
        <v>51359.740000000005</v>
      </c>
      <c r="Q7" s="6" t="s">
        <v>17</v>
      </c>
      <c r="R7" s="10">
        <v>35076.949999999997</v>
      </c>
      <c r="T7" s="6" t="s">
        <v>134</v>
      </c>
      <c r="U7" s="10">
        <v>800</v>
      </c>
      <c r="V7" s="10">
        <v>800</v>
      </c>
    </row>
    <row r="8" spans="1:22">
      <c r="A8" s="6" t="s">
        <v>134</v>
      </c>
      <c r="B8" s="10">
        <v>8036.5</v>
      </c>
      <c r="E8" s="6" t="s">
        <v>49</v>
      </c>
      <c r="F8" s="10">
        <v>61905.38</v>
      </c>
      <c r="H8" s="6" t="s">
        <v>134</v>
      </c>
      <c r="I8" s="10">
        <v>208771.31</v>
      </c>
      <c r="K8" s="6" t="s">
        <v>134</v>
      </c>
      <c r="L8" s="10">
        <v>208771.31</v>
      </c>
      <c r="N8" s="6" t="s">
        <v>49</v>
      </c>
      <c r="O8" s="10">
        <v>61905.38</v>
      </c>
      <c r="Q8" s="6" t="s">
        <v>58</v>
      </c>
      <c r="R8" s="10">
        <v>33153.1</v>
      </c>
    </row>
    <row r="9" spans="1:22">
      <c r="B9" s="7"/>
      <c r="E9" s="6" t="s">
        <v>134</v>
      </c>
      <c r="F9" s="10">
        <v>208771.31</v>
      </c>
      <c r="I9" s="7"/>
      <c r="L9" s="7"/>
      <c r="N9" s="6" t="s">
        <v>134</v>
      </c>
      <c r="O9" s="10">
        <v>208771.31</v>
      </c>
      <c r="Q9" s="6" t="s">
        <v>134</v>
      </c>
      <c r="R9" s="10">
        <v>208771.31</v>
      </c>
      <c r="T9" t="str">
        <f>T4</f>
        <v>Cancelled</v>
      </c>
      <c r="U9">
        <f>IFERROR(VLOOKUP(T9,$T$4:$V$7,2,0),"")</f>
        <v>192</v>
      </c>
      <c r="V9">
        <f>IFERROR(VLOOKUP(T9,$T$4:$V$7,3,0),"")</f>
        <v>192</v>
      </c>
    </row>
    <row r="10" spans="1:22">
      <c r="A10" t="str">
        <f>A4</f>
        <v>East</v>
      </c>
      <c r="B10" s="7">
        <f>IFERROR(VLOOKUP(A10,$A$4:$B$8,2,0),"")</f>
        <v>2101</v>
      </c>
      <c r="E10" t="str">
        <f>E4</f>
        <v>Clothing</v>
      </c>
      <c r="F10" s="7">
        <f>IFERROR(VLOOKUP(E10,E4:F9,2,0),"")</f>
        <v>27014.35</v>
      </c>
      <c r="H10" t="str">
        <f>H4</f>
        <v>West</v>
      </c>
      <c r="I10" s="7">
        <f>IFERROR(VLOOKUP(H10,$H$3:$I$8,2,0),"")</f>
        <v>31182.520000000004</v>
      </c>
      <c r="K10" t="str">
        <f>K4</f>
        <v>Lisa White</v>
      </c>
      <c r="L10" s="7">
        <f>IFERROR(VLOOKUP(K10,$K$4:$L$8,2,0),"")</f>
        <v>48098.529999999992</v>
      </c>
      <c r="Q10" t="str">
        <f>Q4</f>
        <v>Eve</v>
      </c>
      <c r="R10" s="7">
        <f>IFERROR(VLOOKUP(Q10,$Q$4:$R$8,2,0),"")</f>
        <v>55711.05999999999</v>
      </c>
      <c r="T10" t="str">
        <f t="shared" ref="T10" si="0">T5</f>
        <v>Completed</v>
      </c>
      <c r="U10">
        <f t="shared" ref="U10" si="1">IFERROR(VLOOKUP(T10,$T$4:$V$7,2,0),"")</f>
        <v>373</v>
      </c>
      <c r="V10">
        <f t="shared" ref="V10" si="2">IFERROR(VLOOKUP(T10,$T$4:$V$7,3,0),"")</f>
        <v>373</v>
      </c>
    </row>
    <row r="11" spans="1:22">
      <c r="A11" t="str">
        <f t="shared" ref="A11:A14" si="3">A5</f>
        <v>North</v>
      </c>
      <c r="B11" s="7">
        <f t="shared" ref="B11:B14" si="4">IFERROR(VLOOKUP(A11,$A$4:$B$8,2,0),"")</f>
        <v>2145</v>
      </c>
      <c r="E11" t="str">
        <f t="shared" ref="E11:E15" si="5">E5</f>
        <v>Beauty</v>
      </c>
      <c r="F11" s="7">
        <f t="shared" ref="F11:F15" si="6">IFERROR(VLOOKUP(E11,E5:F10,2,0),"")</f>
        <v>29182.060000000009</v>
      </c>
      <c r="H11" t="str">
        <f t="shared" ref="H11:H14" si="7">H5</f>
        <v>North</v>
      </c>
      <c r="I11" s="7">
        <f t="shared" ref="I11:I14" si="8">IFERROR(VLOOKUP(H11,$H$3:$I$8,2,0),"")</f>
        <v>50329.01</v>
      </c>
      <c r="K11" t="str">
        <f t="shared" ref="K11:K14" si="9">K5</f>
        <v>Mark Davis</v>
      </c>
      <c r="L11" s="7">
        <f t="shared" ref="L11:L14" si="10">IFERROR(VLOOKUP(K11,$K$4:$L$8,2,0),"")</f>
        <v>43679.88</v>
      </c>
      <c r="N11" t="str">
        <f>N4</f>
        <v>Beauty</v>
      </c>
      <c r="O11" s="11">
        <f>IFERROR(VLOOKUP(N11,$N$4:$O$9,2,0),"")</f>
        <v>29182.060000000009</v>
      </c>
      <c r="Q11" t="str">
        <f t="shared" ref="Q11:Q14" si="11">Q5</f>
        <v>Alice</v>
      </c>
      <c r="R11" s="7">
        <f t="shared" ref="R11:R14" si="12">IFERROR(VLOOKUP(Q11,$Q$4:$R$9,2,0),"")</f>
        <v>45222.759999999995</v>
      </c>
      <c r="T11" t="str">
        <f>T6</f>
        <v>Pending</v>
      </c>
      <c r="U11">
        <f>IFERROR(VLOOKUP(T11,$T$4:$V$7,2,0),"")</f>
        <v>235</v>
      </c>
      <c r="V11">
        <f>IFERROR(VLOOKUP(T11,$T$4:$V$7,3,0),"")</f>
        <v>235</v>
      </c>
    </row>
    <row r="12" spans="1:22">
      <c r="A12" t="str">
        <f t="shared" si="3"/>
        <v>South</v>
      </c>
      <c r="B12" s="7">
        <f t="shared" si="4"/>
        <v>2167</v>
      </c>
      <c r="E12" t="str">
        <f t="shared" si="5"/>
        <v>Electronics</v>
      </c>
      <c r="F12" s="7">
        <f t="shared" si="6"/>
        <v>39309.78</v>
      </c>
      <c r="H12" t="str">
        <f t="shared" si="7"/>
        <v>East</v>
      </c>
      <c r="I12" s="7">
        <f t="shared" si="8"/>
        <v>60100.989999999983</v>
      </c>
      <c r="K12" t="str">
        <f t="shared" si="9"/>
        <v>Sarah Johnson</v>
      </c>
      <c r="L12" s="7">
        <f t="shared" si="10"/>
        <v>52442.060000000012</v>
      </c>
      <c r="N12" t="str">
        <f t="shared" ref="N12:N16" si="13">N5</f>
        <v>Clothing</v>
      </c>
      <c r="O12" s="11">
        <f t="shared" ref="O12:O16" si="14">IFERROR(VLOOKUP(N12,$N$4:$O$9,2,0),"")</f>
        <v>27014.35</v>
      </c>
      <c r="Q12" t="str">
        <f t="shared" si="11"/>
        <v>Bob</v>
      </c>
      <c r="R12" s="7">
        <f t="shared" si="12"/>
        <v>39607.439999999995</v>
      </c>
      <c r="T12" t="str">
        <f t="shared" ref="T12" si="15">T7</f>
        <v>Grand Total</v>
      </c>
      <c r="U12">
        <f>IFERROR(VLOOKUP(T12,$T$4:$V$7,2,0),"")</f>
        <v>800</v>
      </c>
      <c r="V12">
        <f>IFERROR(VLOOKUP(T12,$T$4:$V$7,3,0),"")</f>
        <v>800</v>
      </c>
    </row>
    <row r="13" spans="1:22">
      <c r="A13" t="str">
        <f t="shared" si="3"/>
        <v>West</v>
      </c>
      <c r="B13" s="7">
        <f t="shared" si="4"/>
        <v>1623.5</v>
      </c>
      <c r="E13" t="str">
        <f t="shared" si="5"/>
        <v>Home Goods</v>
      </c>
      <c r="F13" s="7">
        <f t="shared" si="6"/>
        <v>51359.740000000005</v>
      </c>
      <c r="H13" t="str">
        <f t="shared" si="7"/>
        <v>South</v>
      </c>
      <c r="I13" s="7">
        <f t="shared" si="8"/>
        <v>67158.789999999994</v>
      </c>
      <c r="K13" t="str">
        <f t="shared" si="9"/>
        <v>Tom Brown</v>
      </c>
      <c r="L13" s="7">
        <f t="shared" si="10"/>
        <v>64550.840000000004</v>
      </c>
      <c r="N13" t="str">
        <f t="shared" si="13"/>
        <v>Electronics</v>
      </c>
      <c r="O13" s="11">
        <f t="shared" si="14"/>
        <v>39309.78</v>
      </c>
      <c r="Q13" t="str">
        <f t="shared" si="11"/>
        <v>Charlie</v>
      </c>
      <c r="R13" s="7">
        <f t="shared" si="12"/>
        <v>35076.949999999997</v>
      </c>
    </row>
    <row r="14" spans="1:22">
      <c r="A14" t="str">
        <f t="shared" si="3"/>
        <v>Grand Total</v>
      </c>
      <c r="B14" s="7">
        <f t="shared" si="4"/>
        <v>8036.5</v>
      </c>
      <c r="E14" t="str">
        <f t="shared" si="5"/>
        <v>Sports</v>
      </c>
      <c r="F14" s="7">
        <f t="shared" si="6"/>
        <v>61905.38</v>
      </c>
      <c r="H14" t="str">
        <f t="shared" si="7"/>
        <v>Grand Total</v>
      </c>
      <c r="I14" s="7">
        <f t="shared" si="8"/>
        <v>208771.31</v>
      </c>
      <c r="K14" t="str">
        <f t="shared" si="9"/>
        <v>Grand Total</v>
      </c>
      <c r="L14" s="7">
        <f t="shared" si="10"/>
        <v>208771.31</v>
      </c>
      <c r="N14" t="str">
        <f t="shared" si="13"/>
        <v>Home Goods</v>
      </c>
      <c r="O14" s="11">
        <f t="shared" si="14"/>
        <v>51359.740000000005</v>
      </c>
      <c r="Q14" t="str">
        <f t="shared" si="11"/>
        <v>Diana</v>
      </c>
      <c r="R14" s="7">
        <f t="shared" si="12"/>
        <v>33153.1</v>
      </c>
    </row>
    <row r="15" spans="1:22">
      <c r="E15" t="str">
        <f t="shared" si="5"/>
        <v>Grand Total</v>
      </c>
      <c r="F15" s="7">
        <f t="shared" si="6"/>
        <v>208771.31</v>
      </c>
      <c r="N15" t="str">
        <f t="shared" si="13"/>
        <v>Sports</v>
      </c>
      <c r="O15" s="11">
        <f t="shared" si="14"/>
        <v>61905.38</v>
      </c>
    </row>
    <row r="16" spans="1:22">
      <c r="N16" t="str">
        <f t="shared" si="13"/>
        <v>Grand Total</v>
      </c>
      <c r="O16" s="11">
        <f t="shared" si="14"/>
        <v>208771.31</v>
      </c>
    </row>
  </sheetData>
  <mergeCells count="7">
    <mergeCell ref="Q2:R2"/>
    <mergeCell ref="T2:U2"/>
    <mergeCell ref="A2:B2"/>
    <mergeCell ref="E2:F2"/>
    <mergeCell ref="H2:I2"/>
    <mergeCell ref="K2:L2"/>
    <mergeCell ref="N2:O2"/>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U55:BO94"/>
  <sheetViews>
    <sheetView showGridLines="0" tabSelected="1" zoomScale="25" zoomScaleNormal="25" workbookViewId="0">
      <selection activeCell="CD63" sqref="CD63"/>
    </sheetView>
  </sheetViews>
  <sheetFormatPr defaultRowHeight="15"/>
  <sheetData>
    <row r="55" spans="21:65" ht="25.5">
      <c r="U55" s="8"/>
    </row>
    <row r="58" spans="21:65" ht="20.25">
      <c r="BM58" s="12"/>
    </row>
    <row r="94" spans="67:67">
      <c r="BO94" t="s">
        <v>143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Global Superstore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ndukamartins2019@gmail.com</cp:lastModifiedBy>
  <dcterms:created xsi:type="dcterms:W3CDTF">2026-03-10T16:21:35Z</dcterms:created>
  <dcterms:modified xsi:type="dcterms:W3CDTF">2026-03-25T15:34:33Z</dcterms:modified>
</cp:coreProperties>
</file>